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4"/>
  </bookViews>
  <sheets>
    <sheet name="Base" sheetId="7" r:id="rId1"/>
    <sheet name="Planif initiale" sheetId="8" r:id="rId2"/>
    <sheet name="Planif déf" sheetId="11" r:id="rId3"/>
    <sheet name="Planif finale" sheetId="12" r:id="rId4"/>
    <sheet name="Journal" sheetId="6" r:id="rId5"/>
    <sheet name="Avancée" sheetId="10" r:id="rId6"/>
  </sheets>
  <definedNames>
    <definedName name="listeTache" localSheetId="0">Base!$I$4:$I$25,Base!$I$26:$I$48,Base!$I$49:$I$66</definedName>
  </definedNames>
  <calcPr calcId="162913"/>
</workbook>
</file>

<file path=xl/calcChain.xml><?xml version="1.0" encoding="utf-8"?>
<calcChain xmlns="http://schemas.openxmlformats.org/spreadsheetml/2006/main">
  <c r="C150" i="6" l="1"/>
  <c r="C151" i="6"/>
  <c r="C152" i="6"/>
  <c r="C153" i="6"/>
  <c r="C154" i="6"/>
  <c r="C155" i="6"/>
  <c r="C156" i="6"/>
  <c r="C157" i="6"/>
  <c r="C158" i="6"/>
  <c r="C159" i="6"/>
  <c r="C160" i="6"/>
  <c r="C161" i="6"/>
  <c r="C162" i="6"/>
  <c r="C163" i="6"/>
  <c r="C164" i="6"/>
  <c r="C165" i="6"/>
  <c r="G150" i="6"/>
  <c r="G151" i="6"/>
  <c r="G152" i="6"/>
  <c r="G153" i="6"/>
  <c r="G154" i="6"/>
  <c r="G155" i="6"/>
  <c r="G156" i="6"/>
  <c r="G157" i="6"/>
  <c r="G158" i="6"/>
  <c r="G159" i="6"/>
  <c r="G160" i="6"/>
  <c r="G161" i="6"/>
  <c r="G162" i="6"/>
  <c r="G163" i="6"/>
  <c r="G164" i="6"/>
  <c r="G165" i="6"/>
  <c r="E167" i="6" l="1"/>
  <c r="B79" i="12"/>
  <c r="B78" i="12"/>
  <c r="B77" i="12"/>
  <c r="B76" i="12"/>
  <c r="B75" i="12"/>
  <c r="B74" i="12"/>
  <c r="B72" i="12"/>
  <c r="B71" i="12"/>
  <c r="B70" i="12"/>
  <c r="B69" i="12"/>
  <c r="B68" i="12"/>
  <c r="B67" i="12"/>
  <c r="B66" i="12"/>
  <c r="B64" i="12"/>
  <c r="B63" i="12"/>
  <c r="B62" i="12"/>
  <c r="B61" i="12"/>
  <c r="B60" i="12"/>
  <c r="B59" i="12"/>
  <c r="B58" i="12"/>
  <c r="B56" i="12"/>
  <c r="B55" i="12"/>
  <c r="B54" i="12"/>
  <c r="B53" i="12"/>
  <c r="B52" i="12"/>
  <c r="B51" i="12"/>
  <c r="B50" i="12"/>
  <c r="B49" i="12"/>
  <c r="B48" i="12"/>
  <c r="B47" i="12"/>
  <c r="B46" i="12"/>
  <c r="B45" i="12"/>
  <c r="B44" i="12"/>
  <c r="B43" i="12"/>
  <c r="B42" i="12"/>
  <c r="B41" i="12"/>
  <c r="B40" i="12"/>
  <c r="B39" i="12"/>
  <c r="B38" i="12"/>
  <c r="B37" i="12"/>
  <c r="B36" i="12"/>
  <c r="B35" i="12"/>
  <c r="B34" i="12"/>
  <c r="B33" i="12"/>
  <c r="B31" i="12"/>
  <c r="B30" i="12"/>
  <c r="B29" i="12"/>
  <c r="B28" i="12"/>
  <c r="B27" i="12"/>
  <c r="B26" i="12"/>
  <c r="B25" i="12"/>
  <c r="B24" i="12"/>
  <c r="B23" i="12"/>
  <c r="B22" i="12"/>
  <c r="B21" i="12"/>
  <c r="B20" i="12"/>
  <c r="B19" i="12"/>
  <c r="B18" i="12"/>
  <c r="B17" i="12"/>
  <c r="B16" i="12"/>
  <c r="B15" i="12"/>
  <c r="B13" i="12"/>
  <c r="B12" i="12"/>
  <c r="B11" i="12"/>
  <c r="B10" i="12"/>
  <c r="B9" i="12"/>
  <c r="B8" i="12"/>
  <c r="B7" i="12"/>
  <c r="B5" i="12"/>
  <c r="AG4" i="12"/>
  <c r="C4" i="12"/>
  <c r="AO3" i="12"/>
  <c r="AT3" i="12" s="1"/>
  <c r="BC3" i="12" s="1"/>
  <c r="K3" i="12"/>
  <c r="P3" i="12" s="1"/>
  <c r="Y3" i="12" s="1"/>
  <c r="C3" i="12"/>
  <c r="B1" i="12"/>
  <c r="G136" i="6"/>
  <c r="G137" i="6"/>
  <c r="G138" i="6"/>
  <c r="G139" i="6"/>
  <c r="G140" i="6"/>
  <c r="G141" i="6"/>
  <c r="G142" i="6"/>
  <c r="G143" i="6"/>
  <c r="G144" i="6"/>
  <c r="G145" i="6"/>
  <c r="G146" i="6"/>
  <c r="G147" i="6"/>
  <c r="G148" i="6"/>
  <c r="C136" i="6"/>
  <c r="C137" i="6"/>
  <c r="C138" i="6"/>
  <c r="C139" i="6"/>
  <c r="C140" i="6"/>
  <c r="C141" i="6"/>
  <c r="C142" i="6"/>
  <c r="C143" i="6"/>
  <c r="C144" i="6"/>
  <c r="C145" i="6"/>
  <c r="C146" i="6"/>
  <c r="C147" i="6"/>
  <c r="C148" i="6"/>
  <c r="C149" i="6"/>
  <c r="BK3" i="12" l="1"/>
  <c r="BP3" i="12" s="1"/>
  <c r="BY3" i="12" s="1"/>
  <c r="CG3" i="12" s="1"/>
  <c r="CL3" i="12" s="1"/>
  <c r="CU3" i="12" s="1"/>
  <c r="DC3" i="12" s="1"/>
  <c r="BC4" i="12"/>
  <c r="G112" i="6"/>
  <c r="G113" i="6"/>
  <c r="G114" i="6"/>
  <c r="G115" i="6"/>
  <c r="G116" i="6"/>
  <c r="G117" i="6"/>
  <c r="G118" i="6"/>
  <c r="G119" i="6"/>
  <c r="G120" i="6"/>
  <c r="G121" i="6"/>
  <c r="G122" i="6"/>
  <c r="G123" i="6"/>
  <c r="G124" i="6"/>
  <c r="G125" i="6"/>
  <c r="G126" i="6"/>
  <c r="G127" i="6"/>
  <c r="G128" i="6"/>
  <c r="G129" i="6"/>
  <c r="G130" i="6"/>
  <c r="G131" i="6"/>
  <c r="G132" i="6"/>
  <c r="G133" i="6"/>
  <c r="G134" i="6"/>
  <c r="G135" i="6"/>
  <c r="G149"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DK3" i="12" l="1"/>
  <c r="DP3" i="12" s="1"/>
  <c r="DC4" i="12"/>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B79" i="11"/>
  <c r="B78" i="11"/>
  <c r="B77" i="11"/>
  <c r="B76" i="11"/>
  <c r="B75" i="11"/>
  <c r="B74" i="11"/>
  <c r="B71" i="11"/>
  <c r="B70" i="11"/>
  <c r="B69" i="11"/>
  <c r="B68" i="11"/>
  <c r="B67" i="11"/>
  <c r="B66" i="11"/>
  <c r="B63" i="11"/>
  <c r="B62" i="11"/>
  <c r="B61" i="11"/>
  <c r="B60" i="11"/>
  <c r="B59" i="11"/>
  <c r="B58" i="11"/>
  <c r="B55" i="11"/>
  <c r="B54" i="11"/>
  <c r="B53" i="11"/>
  <c r="B52" i="11"/>
  <c r="B51" i="11"/>
  <c r="B50" i="11"/>
  <c r="B49" i="11"/>
  <c r="B48" i="11"/>
  <c r="B47" i="11"/>
  <c r="B46" i="11"/>
  <c r="B45" i="11"/>
  <c r="B44" i="11"/>
  <c r="B43" i="11"/>
  <c r="B42" i="11"/>
  <c r="B41" i="11"/>
  <c r="B40" i="11"/>
  <c r="B39" i="11"/>
  <c r="B38" i="11"/>
  <c r="B37" i="11"/>
  <c r="B36" i="11"/>
  <c r="B35" i="11"/>
  <c r="B34" i="11"/>
  <c r="B33" i="11"/>
  <c r="B30" i="11"/>
  <c r="B29" i="11"/>
  <c r="B28" i="11"/>
  <c r="B27" i="11"/>
  <c r="B26" i="11"/>
  <c r="B25" i="11"/>
  <c r="B24" i="11"/>
  <c r="B23" i="11"/>
  <c r="B22" i="11"/>
  <c r="B21" i="11"/>
  <c r="B20" i="11"/>
  <c r="B19" i="11"/>
  <c r="B18" i="11"/>
  <c r="B17" i="11"/>
  <c r="B16" i="11"/>
  <c r="B15" i="11"/>
  <c r="B12" i="11"/>
  <c r="B11" i="11"/>
  <c r="B10" i="11"/>
  <c r="B9" i="11"/>
  <c r="B8" i="11"/>
  <c r="B7" i="11"/>
  <c r="AG4" i="11"/>
  <c r="C4" i="11"/>
  <c r="AO3" i="11"/>
  <c r="AT3" i="11" s="1"/>
  <c r="BC3" i="11" s="1"/>
  <c r="C3" i="11"/>
  <c r="K3" i="11" s="1"/>
  <c r="P3" i="11" s="1"/>
  <c r="Y3" i="11" s="1"/>
  <c r="B1" i="11"/>
  <c r="BK3" i="11" l="1"/>
  <c r="BP3" i="11" s="1"/>
  <c r="BY3" i="11" s="1"/>
  <c r="CG3" i="11" s="1"/>
  <c r="CL3" i="11" s="1"/>
  <c r="CU3" i="11" s="1"/>
  <c r="DC3" i="11" s="1"/>
  <c r="BC4" i="11"/>
  <c r="D1" i="10"/>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4" i="8" l="1"/>
  <c r="B75" i="8"/>
  <c r="B76" i="8"/>
  <c r="B77" i="8"/>
  <c r="B78" i="8"/>
  <c r="B73" i="8"/>
  <c r="B53" i="8"/>
  <c r="B54" i="8"/>
  <c r="B45" i="8"/>
  <c r="B46" i="8"/>
  <c r="B47" i="8"/>
  <c r="B48" i="8"/>
  <c r="B49" i="8"/>
  <c r="B33" i="8"/>
  <c r="B34" i="8"/>
  <c r="B35" i="8"/>
  <c r="B36" i="8"/>
  <c r="B37" i="8"/>
  <c r="B38" i="8"/>
  <c r="B39" i="8"/>
  <c r="B40" i="8"/>
  <c r="B41" i="8"/>
  <c r="B42" i="8"/>
  <c r="B43" i="8"/>
  <c r="B44" i="8"/>
  <c r="B15" i="8"/>
  <c r="B16" i="8"/>
  <c r="B17" i="8"/>
  <c r="B18" i="8"/>
  <c r="B19" i="8"/>
  <c r="B20" i="8"/>
  <c r="B21" i="8"/>
  <c r="B22" i="8"/>
  <c r="B23" i="8"/>
  <c r="B24" i="8"/>
  <c r="B25" i="8"/>
  <c r="B26" i="8"/>
  <c r="B27" i="8"/>
  <c r="B28" i="8"/>
  <c r="B29" i="8"/>
  <c r="B14" i="8"/>
  <c r="B6" i="8"/>
  <c r="B7" i="8"/>
  <c r="B8" i="8"/>
  <c r="B9" i="8"/>
  <c r="B10" i="8"/>
  <c r="B11" i="8"/>
  <c r="AG3" i="8"/>
  <c r="AO2" i="8" l="1"/>
  <c r="AT2" i="8" s="1"/>
  <c r="BC2"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C62" i="10" l="1"/>
  <c r="C11" i="10"/>
  <c r="C61" i="10"/>
  <c r="C64" i="10"/>
  <c r="C17" i="10"/>
  <c r="C14" i="10"/>
  <c r="C16" i="10"/>
  <c r="C15" i="10"/>
  <c r="C49" i="10"/>
  <c r="C13" i="10"/>
  <c r="C19" i="10"/>
  <c r="C50" i="10"/>
  <c r="C10" i="10"/>
  <c r="C2" i="8"/>
  <c r="C3" i="8" s="1"/>
  <c r="H61" i="7"/>
  <c r="H55" i="7"/>
  <c r="B64" i="11" s="1"/>
  <c r="H49" i="7"/>
  <c r="B56" i="11" s="1"/>
  <c r="H26" i="7"/>
  <c r="B31" i="11" s="1"/>
  <c r="H10" i="7"/>
  <c r="B13" i="11" s="1"/>
  <c r="H4" i="7"/>
  <c r="B5" i="11" s="1"/>
  <c r="B71" i="8" l="1"/>
  <c r="B72" i="11"/>
  <c r="E171" i="6"/>
  <c r="E170" i="6"/>
  <c r="E169" i="6"/>
  <c r="E168" i="6"/>
  <c r="E172" i="6"/>
  <c r="K2" i="8"/>
  <c r="P2" i="8" s="1"/>
  <c r="Y2" i="8" s="1"/>
  <c r="B63" i="8"/>
  <c r="B55" i="8"/>
  <c r="B30" i="8"/>
  <c r="B12" i="8"/>
  <c r="B4" i="8"/>
  <c r="BC3" i="8" l="1"/>
  <c r="B32" i="8"/>
  <c r="B57" i="8"/>
  <c r="B58" i="8"/>
  <c r="B59" i="8"/>
  <c r="B60" i="8"/>
  <c r="B61" i="8"/>
  <c r="B62" i="8"/>
  <c r="B65" i="8"/>
  <c r="B66" i="8"/>
  <c r="B67" i="8"/>
  <c r="B68" i="8"/>
  <c r="B69" i="8"/>
  <c r="B70" i="8"/>
  <c r="BK2" i="8" l="1"/>
  <c r="BP2" i="8" s="1"/>
  <c r="BY2" i="8" s="1"/>
  <c r="CG2" i="8" s="1"/>
  <c r="CL2" i="8" l="1"/>
  <c r="CU2" i="8" s="1"/>
  <c r="DC2" i="8" s="1"/>
  <c r="DK2" i="8" l="1"/>
  <c r="DP2" i="8" s="1"/>
  <c r="DC3" i="8"/>
</calcChain>
</file>

<file path=xl/sharedStrings.xml><?xml version="1.0" encoding="utf-8"?>
<sst xmlns="http://schemas.openxmlformats.org/spreadsheetml/2006/main" count="476" uniqueCount="271">
  <si>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</si>
  <si>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</si>
  <si>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</si>
  <si>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</si>
  <si>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</si>
  <si>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</si>
  <si>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</si>
  <si>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</si>
  <si>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</si>
  <si>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</si>
  <si>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</si>
  <si>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</si>
  <si>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</si>
  <si>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</si>
  <si>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</si>
  <si>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</si>
  <si>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</si>
  <si>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</si>
  <si>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</si>
  <si>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</si>
  <si>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</si>
  <si>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</si>
  <si>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</si>
  <si>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</si>
  <si>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</si>
  <si>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</si>
  <si>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</si>
  <si>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</si>
  <si>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</si>
  <si>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</si>
  <si>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</si>
  <si>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</si>
  <si>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</si>
  <si>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</si>
  <si>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</si>
  <si>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</si>
  <si>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</si>
  <si>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</si>
  <si>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</si>
  <si>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</si>
  <si>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</si>
  <si>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</si>
  <si>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</si>
  <si>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</si>
  <si>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</si>
  <si>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</si>
  <si>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</si>
  <si>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</si>
  <si>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</si>
  <si>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</si>
  <si>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</si>
  <si>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</si>
  <si>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</si>
  <si>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</si>
  <si>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</si>
  <si>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</si>
  <si>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</si>
  <si>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</si>
  <si>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</si>
  <si>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</si>
  <si>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</si>
  <si>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</si>
  <si>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</si>
  <si>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</si>
  <si>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</si>
  <si>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</si>
  <si>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</si>
  <si>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</si>
  <si>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</si>
  <si>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</si>
  <si>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</si>
  <si>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</si>
  <si>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</si>
  <si>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</si>
  <si>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</si>
  <si>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</si>
  <si>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</si>
  <si>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</si>
  <si>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</si>
  <si>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</si>
  <si>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</si>
  <si>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</si>
  <si>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</si>
  <si>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</si>
  <si>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</si>
  <si>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</si>
  <si>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</si>
  <si>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</si>
  <si>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</si>
  <si>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</si>
  <si>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</si>
  <si>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</si>
  <si>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</si>
  <si>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</si>
  <si>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</si>
  <si>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</si>
  <si>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</si>
  <si>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</si>
  <si>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</si>
  <si>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</si>
  <si>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</si>
  <si>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</si>
  <si>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</si>
  <si>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</si>
  <si>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</si>
  <si>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</si>
  <si>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</si>
  <si>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</si>
  <si>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</si>
  <si>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</si>
  <si>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</si>
  <si>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</si>
  <si>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</si>
  <si>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</si>
  <si>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</si>
  <si>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</si>
  <si>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</si>
  <si>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</si>
  <si>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</si>
  <si>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</si>
  <si>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</si>
  <si>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</si>
  <si>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</si>
  <si>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</si>
  <si>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</si>
  <si>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</si>
  <si>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</si>
  <si>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</si>
  <si>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</si>
  <si>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</si>
  <si>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</si>
  <si>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</si>
  <si>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</si>
  <si>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</si>
  <si>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</si>
  <si>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</si>
  <si>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</si>
  <si>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</si>
  <si>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</si>
  <si>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</si>
  <si>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</si>
  <si>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</si>
  <si>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</si>
  <si>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</si>
  <si>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</si>
  <si>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</si>
  <si>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</si>
  <si>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</si>
  <si>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</si>
  <si>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</si>
  <si>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</si>
  <si>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</si>
  <si>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</si>
  <si>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</si>
  <si>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</si>
  <si>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</si>
  <si>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</si>
  <si>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</si>
  <si>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</si>
  <si>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</si>
  <si>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</si>
  <si>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</si>
  <si>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</si>
  <si>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</si>
  <si>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</si>
  <si>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</si>
  <si>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</si>
  <si>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</si>
  <si>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</si>
  <si>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</si>
  <si>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</si>
  <si>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</si>
  <si>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</si>
  <si>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</si>
  <si>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</si>
  <si>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</si>
  <si>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</si>
  <si>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</si>
  <si>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</si>
  <si>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</si>
  <si>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</si>
  <si>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</si>
  <si>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</si>
  <si>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</si>
  <si>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</si>
  <si>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</si>
  <si>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</si>
  <si>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</si>
  <si>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</si>
  <si>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</si>
  <si>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</si>
  <si>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</si>
  <si>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</si>
  <si>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</si>
  <si>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</si>
  <si>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</si>
  <si>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</si>
  <si>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</si>
  <si>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</si>
  <si>
    <t>mise en place de la recherche par mot-clé
afin d'éviter de dupliquer du code pour afficher à nouveau le tableau de données, mise à part de la création du tableau, afin de l'appeler à chaque fois qu'il est nécessaire</t>
  </si>
  <si>
    <t>la recherche par couleur de vin est mise en place. Toutes les données sont affichées, mais triées par couleur</t>
  </si>
  <si>
    <t>recherche par producteur mise en place -&gt; trie la liste par ordre alphabétique</t>
  </si>
  <si>
    <t>recherche par pays mise en place -&gt; le tri s'effectue également par ordre alphabétique</t>
  </si>
  <si>
    <t>la recherche par cépage est en place, cela trie par ordre alphabétique de cépages
Etant donné qu'il est possible qu'un vin ait plusieurs cépages, l'ordre alphabétique est réalisé sur l'intégralité des cépages et seul le premier alphabétiquement est pris en compte</t>
  </si>
  <si>
    <t>recherche sur la génération d'un tableau dans le PDF</t>
  </si>
  <si>
    <t>avancée sur la génération de PDF -&gt; le header est mis en place et les cases aussi, normalement =&gt; pas possible de vérifier, car il reste une erreur au niveau de la génération du PDF. Les valeurs données seraient "hors-index"</t>
  </si>
  <si>
    <t>après avoir continué à chercher pourquoi ça ne fonctionne pas, aucune solution n'a été trouvée -&gt; go passer à la suite, à revenir par après pour ne pas perdre trop de temps</t>
  </si>
  <si>
    <t>30 minutes de recherche sur l'impression depuis l'application -&gt; pas trouvée de solution viable
go faire autre chose, sinon je vais jamais finir</t>
  </si>
  <si>
    <t>L'ajout de casiers est fait dans la majeure partie. La partie restante, encore une fois, est la vérification que l'élément ne soit pas déjà présent dans la base de données</t>
  </si>
  <si>
    <t>le retrait de casiers est commencé, les requêtes sont prêtes. Il faut encore lier les requêtes au visuel</t>
  </si>
  <si>
    <t>le retrait de casiers est presque terminé, il manque encore une fois un contrôle que la suppression peut s'effectuer (casier vide)</t>
  </si>
  <si>
    <t>mise en place de la vérification que le casier est vide
-&gt; la requête est créée, mais est dysfonctionnelle : plus aucune suppression ne passe les tests</t>
  </si>
  <si>
    <t>mise en place de l'ajout et de la suppression d'alerte
au final -&gt; débuggage du code, il y avait des erreurs dans mes appels successifs à la BDD avec les alertes 
étape actuelle : erreur de syntaxe de requête SQL</t>
  </si>
  <si>
    <t>correction de l'erreur de syntaxe -&gt; les requêtes ne fonctionnent pas encore, car c'est plus complexe que prévu -&gt; retour sur le problème plus tard, sinon il n'y aura plus de motivation</t>
  </si>
  <si>
    <t xml:space="preserve">création du datagridview, + requête de récupération des logs déjà présents
</t>
  </si>
  <si>
    <t>début des méthodes pour ajouter une entrée aux logs automatiquement</t>
  </si>
  <si>
    <t>mise en place des requêtes d'ajouts de logs</t>
  </si>
  <si>
    <t>discussion avec J.Ithurbide, afin de répondre aux questions encore sans réponse : problème d'index de la génération du PDF, piste sur comment mettre en place l'impression, axe à suivre pour vérifier la présence ou non dans BDD, types de tests ?</t>
  </si>
  <si>
    <t>ajout de la vérification de la présence d'une bouteille lors de l'ajout -&gt; mise à jour du nombre de bouteilles si déjà présente</t>
  </si>
  <si>
    <t>ajout de la vérification de la présence d'un casier lors de l'ajout</t>
  </si>
  <si>
    <t>correction de l'erreur de requête pour la vérification que le casier soit vide -&gt; suppression 100% fonctionnelle</t>
  </si>
  <si>
    <t>choix d'un paquet NuGet pour permettre l'impression à partir d'un PDF</t>
  </si>
  <si>
    <t>l'impression est fonctionnelle 
!!! Cela ne marche pas pour toutes les imprimantes, il faut lui donner le nom de l'imprimante
pour l'instant, configuré pour classe C236 -&gt; amélio à proposer : fichier de config pour pouvoir changer facilement l'imprimante</t>
  </si>
  <si>
    <t>ajouter les bouteilles 1 par 1 aux bouteilles faisant partie de l'alerte
implémentation de l'ajout d'alerte
débug des erreurs d'affichage des alertes, parce que j'avais codé n'importe quoi avant</t>
  </si>
  <si>
    <t>aide de F.Andolfatto pour corriger des erreurs
-&gt; le debugger est de mieux en mieux compris, mais encore complexe à utiliser</t>
  </si>
  <si>
    <t>finition du débuggage de l'affichage des alertes, tout a l'air fonctionnel</t>
  </si>
  <si>
    <t>suite de la génération des requêtes de création des logs</t>
  </si>
  <si>
    <t>préparation des fichiers PDF pour le rendu
envoi du mail pour les experts et le CdP</t>
  </si>
  <si>
    <t>ajouter la vérification si une alerte est associée à la bouteille en question
l'alerte s'affiche, mais la bouteille est quand même sortie après</t>
  </si>
  <si>
    <t>la création des logs est faite, il reste quelques soucis à régler dans la base de données (contraintes d'unicité incorrecte)
l'affichage du jour est incorrecte, à corriger</t>
  </si>
  <si>
    <t>changement du paramètre d'affichage des fenêtres, afin de griser la fenêtre d'accueil tant qu'on n'a pas fermé la fenêtre ouverte. Changement de la valeur de taille de la fenêtre, afin d'empêcher le changement de taille de la fenêtre</t>
  </si>
  <si>
    <t>mise en place des tests unitaires automatiques, afin de vérifier le bon fonctionnement des méthodes
test pour les alertes en place
erreur encore présente : les tests nécessitent l'utilisation d'une base de données spécifiques : solution pour appeler une autre base de données : inconnue</t>
  </si>
  <si>
    <t>mise en place des tests unitaires pour la classe "Bottles"</t>
  </si>
  <si>
    <t>mise en place des tests unitaires pour la classe "StorageBoxes"</t>
  </si>
  <si>
    <t>rédaction de différents points : retard de ce matin</t>
  </si>
  <si>
    <t>mise en place des tests unitaire pour la classe "Logs"</t>
  </si>
  <si>
    <t>correction du MLD : suppression de colonnes superflus, on update et on delete configuré… 
correction du MCD : suppression des éléments superflus</t>
  </si>
  <si>
    <t>mise en place de la base de données "tests", afin d'exécuter les tests unitaires
les données pour la base tests sont générés, les tests peuvent être exécutés -&gt; ils restent des erreurs dans ceux-ci, à corriger demain
reste à finir de générer les données "réelles" pour la BDD</t>
  </si>
  <si>
    <t>génération des documents pour les experts + envoi par mail</t>
  </si>
  <si>
    <t>O.Rutz</t>
  </si>
  <si>
    <t>fin du développement de la fonctionnalité "suppression d'alerte", que j'avais oublié -&gt; cela fonctionne</t>
  </si>
  <si>
    <t>déboggage des tests unitaires rédigés
cela a fonctionné pour certains, mais impossible pour certains autres, je ne trouve pas l'erreur -&gt; avancée sur le reste, il reste du boulot autre part</t>
  </si>
  <si>
    <t>réalisation des tests fonctionnels selon scénarios</t>
  </si>
  <si>
    <t>réalisation des tests fonctionnels selon scénarios
explication si le test échoue</t>
  </si>
  <si>
    <t>rédaction du rapport de projet : évolutions et améliorations possibles, problèmes rencontrés, rédaction des tests, remplacement des illustrations incorrectes (planif initiale, MCD, MLD), rédaction de la partie "réalisation" du projet</t>
  </si>
  <si>
    <t>rédaction de la partie "personnes consultées" -&gt; il manquait du détail</t>
  </si>
  <si>
    <t>F.Andolfatto</t>
  </si>
  <si>
    <t>Personne 3</t>
  </si>
  <si>
    <t>X.Carrel</t>
  </si>
  <si>
    <t xml:space="preserve">heures effectuées totales (h) : </t>
  </si>
  <si>
    <t>rédaction des tests unitaires, des erreurs restantes dans le projet</t>
  </si>
  <si>
    <t>recherche sur la manière de créer un fichier .exe à partir de visual studio 2019</t>
  </si>
  <si>
    <t>mise à jour du diagramme de classe, rédaction du glossaire</t>
  </si>
  <si>
    <t>fin de la rédaction du glossaire, rédaction de "personnes consultées",planification définitive avancée, réflexion sur quoi noter dans les paragraphes de la conclusion</t>
  </si>
  <si>
    <t>début de la mise en place de la planification finale</t>
  </si>
  <si>
    <t>n'ayant pas trouvé ce matin, demande à F.Andolfatto sur comment faire un .exe de l'application
mise en place de l'installer pour pouvoir simplifier la navigation dans le .exe</t>
  </si>
  <si>
    <t>création de l'application en .exe avec raccourci sur le bureau + test de la solution
!!! Si base de données non générées -&gt; plante !!!
Réflexion sur la manière de rédiger la procédure d'installation</t>
  </si>
  <si>
    <t>603 réunion avec monsieur O.Rutz, expert 2</t>
  </si>
  <si>
    <t>discussion sur l'avancée du projet : problèmes bloquants, questions génériques, puis explications sur déroulement de la fin du projet + défense</t>
  </si>
  <si>
    <t>avancée du manuel d'installation</t>
  </si>
  <si>
    <t>génération des fichiers PDF nécessaires + envoi au CdP et aux experts</t>
  </si>
  <si>
    <t>procédure d'installation "en mode brouillon" -&gt; à mettre au propre</t>
  </si>
  <si>
    <t>320 -</t>
  </si>
  <si>
    <t>319 -</t>
  </si>
  <si>
    <t>318 -</t>
  </si>
  <si>
    <t>rédaction des textes associés à la planif déf, rédaction au propre de produit fini, rédaction de liste des éléments fournis</t>
  </si>
  <si>
    <t>discussion avec X.Carrel, concernant la mise en forme du document imprimé, ainsi que le contenu à mettre dans "liste des éléments fournis"</t>
  </si>
  <si>
    <t xml:space="preserve">rédaction de la suite du rapport : programmation et scripts, avec illustrations, </t>
  </si>
  <si>
    <t>rédaction de l'atteinte des objectifs, fin de la rédaction de la partie "scripts", rédaction de la partie difficultés particulières, mise en forme des annexes A2, A3, A4, A5 et A6, mise en place d'un sommaire des annexes</t>
  </si>
  <si>
    <t>réflexion sur le contenu du résumé du rapport (annexe A1) + prise de notes à ce sujet</t>
  </si>
  <si>
    <t>rédaction du point évolution et amélioration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</si>
</sst>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4"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
      <sz val="12"/>
      <color theme="1"/>
      <name val="Calibri"/>
      <family val="2"/>
      <scheme val="minor"/>
    </font>
    <font>
      <sz val="11"/>
      <color theme="5" tint="0.39997558519241921"/>
      <name val="Calibri"/>
      <family val="2"/>
      <scheme val="minor"/>
    </font>
    <font>
      <sz val="11"/>
      <color theme="6" tint="0.3999755851924192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41">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1" fillId="0" borderId="3" xfId="0" applyFont="1" applyFill="1" applyBorder="1" applyAlignment="1">
      <alignment vertical="center"/>
    </xf>
    <xf numFmtId="166" fontId="0" fillId="0" borderId="0" xfId="0" applyNumberFormat="1" applyAlignment="1">
      <alignment vertical="center"/>
    </xf>
    <xf numFmtId="165" fontId="0" fillId="0" borderId="0" xfId="0" applyNumberFormat="1" applyAlignment="1">
      <alignment horizontal="center" vertical="center"/>
    </xf>
    <xf numFmtId="0" fontId="11" fillId="3" borderId="0" xfId="0" applyFont="1" applyFill="1" applyAlignment="1" applyProtection="1">
      <alignment horizontal="left"/>
    </xf>
    <xf numFmtId="0" fontId="12" fillId="11" borderId="20" xfId="0" applyFont="1" applyFill="1" applyBorder="1" applyAlignment="1">
      <alignment horizontal="center"/>
    </xf>
    <xf numFmtId="0" fontId="13" fillId="7" borderId="20" xfId="0" applyFont="1" applyFill="1" applyBorder="1" applyAlignment="1">
      <alignment horizontal="center"/>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10"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0" fontId="5" fillId="0" borderId="42" xfId="0" applyNumberFormat="1" applyFont="1" applyBorder="1" applyAlignment="1">
      <alignment horizontal="center" vertical="center"/>
    </xf>
    <xf numFmtId="0" fontId="5" fillId="0" borderId="19"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A10" zoomScale="115" zoomScaleNormal="115" workbookViewId="0">
      <selection activeCell="I64" sqref="I64"/>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8" t="s">
        <v>23</v>
      </c>
      <c r="D3" s="138"/>
      <c r="E3" s="11"/>
      <c r="F3" s="10"/>
      <c r="G3" s="211" t="s">
        <v>11</v>
      </c>
      <c r="H3" s="211"/>
      <c r="I3" s="10" t="s">
        <v>5</v>
      </c>
      <c r="J3" s="10"/>
    </row>
    <row r="4" spans="1:10" x14ac:dyDescent="0.25">
      <c r="A4" s="8"/>
      <c r="B4" s="8"/>
      <c r="C4" s="8"/>
      <c r="D4" s="8"/>
      <c r="E4" s="8"/>
      <c r="F4" s="8"/>
      <c r="G4" s="85">
        <v>1</v>
      </c>
      <c r="H4" s="130" t="str">
        <f>D11</f>
        <v>Analyse</v>
      </c>
      <c r="I4" s="148" t="s">
        <v>52</v>
      </c>
      <c r="J4" s="89"/>
    </row>
    <row r="5" spans="1:10" ht="18.75" x14ac:dyDescent="0.3">
      <c r="A5" s="8"/>
      <c r="B5" s="10" t="s">
        <v>40</v>
      </c>
      <c r="C5" s="10" t="s">
        <v>2</v>
      </c>
      <c r="D5" s="10" t="s">
        <v>3</v>
      </c>
      <c r="E5" s="8"/>
      <c r="F5" s="8"/>
      <c r="G5" s="71"/>
      <c r="H5" s="86"/>
      <c r="I5" s="149" t="s">
        <v>77</v>
      </c>
      <c r="J5" s="89"/>
    </row>
    <row r="6" spans="1:10" x14ac:dyDescent="0.25">
      <c r="A6" s="8"/>
      <c r="B6" s="5">
        <v>44319</v>
      </c>
      <c r="C6" s="6" t="s">
        <v>6</v>
      </c>
      <c r="D6" s="7" t="s">
        <v>7</v>
      </c>
      <c r="E6" s="8"/>
      <c r="F6" s="8"/>
      <c r="G6" s="71"/>
      <c r="H6" s="86"/>
      <c r="I6" s="149" t="s">
        <v>95</v>
      </c>
      <c r="J6" s="89"/>
    </row>
    <row r="7" spans="1:10" ht="18.75" x14ac:dyDescent="0.3">
      <c r="A7" s="8"/>
      <c r="B7" s="10" t="s">
        <v>39</v>
      </c>
      <c r="C7" s="74"/>
      <c r="D7" s="10" t="s">
        <v>27</v>
      </c>
      <c r="E7" s="8"/>
      <c r="F7" s="8"/>
      <c r="G7" s="71"/>
      <c r="H7" s="86"/>
      <c r="I7" s="149" t="s">
        <v>94</v>
      </c>
      <c r="J7" s="89"/>
    </row>
    <row r="8" spans="1:10" x14ac:dyDescent="0.25">
      <c r="A8" s="8"/>
      <c r="B8" s="5">
        <v>44350</v>
      </c>
      <c r="C8" s="74"/>
      <c r="D8" s="133" t="s">
        <v>41</v>
      </c>
      <c r="E8" s="8"/>
      <c r="F8" s="8"/>
      <c r="G8" s="71"/>
      <c r="H8" s="86"/>
      <c r="I8" s="149" t="s">
        <v>96</v>
      </c>
      <c r="J8" s="89"/>
    </row>
    <row r="9" spans="1:10" x14ac:dyDescent="0.25">
      <c r="A9" s="8"/>
      <c r="B9" s="8"/>
      <c r="C9" s="8"/>
      <c r="D9" s="8"/>
      <c r="E9" s="8"/>
      <c r="F9" s="8"/>
      <c r="G9" s="71"/>
      <c r="H9" s="86"/>
      <c r="I9" s="150" t="s">
        <v>75</v>
      </c>
      <c r="J9" s="89"/>
    </row>
    <row r="10" spans="1:10" ht="18.75" x14ac:dyDescent="0.3">
      <c r="A10" s="8"/>
      <c r="B10" s="8"/>
      <c r="C10" s="212" t="s">
        <v>16</v>
      </c>
      <c r="D10" s="212"/>
      <c r="E10" s="8"/>
      <c r="F10" s="8"/>
      <c r="G10" s="85">
        <v>2</v>
      </c>
      <c r="H10" s="130" t="str">
        <f>D12</f>
        <v>Conception</v>
      </c>
      <c r="I10" s="82" t="s">
        <v>53</v>
      </c>
      <c r="J10" s="89"/>
    </row>
    <row r="11" spans="1:10" x14ac:dyDescent="0.25">
      <c r="A11" s="8"/>
      <c r="B11" s="8"/>
      <c r="C11" s="132">
        <v>1</v>
      </c>
      <c r="D11" s="75" t="s">
        <v>17</v>
      </c>
      <c r="E11" s="8"/>
      <c r="F11" s="8"/>
      <c r="G11" s="71"/>
      <c r="H11" s="87"/>
      <c r="I11" s="81" t="s">
        <v>55</v>
      </c>
      <c r="J11" s="89"/>
    </row>
    <row r="12" spans="1:10" x14ac:dyDescent="0.25">
      <c r="A12" s="8"/>
      <c r="B12" s="8"/>
      <c r="C12" s="132">
        <v>2</v>
      </c>
      <c r="D12" s="75" t="s">
        <v>18</v>
      </c>
      <c r="E12" s="8"/>
      <c r="F12" s="8"/>
      <c r="G12" s="71"/>
      <c r="H12" s="87"/>
      <c r="I12" s="81" t="s">
        <v>54</v>
      </c>
      <c r="J12" s="89"/>
    </row>
    <row r="13" spans="1:10" x14ac:dyDescent="0.25">
      <c r="A13" s="8"/>
      <c r="B13" s="8"/>
      <c r="C13" s="77">
        <v>3</v>
      </c>
      <c r="D13" s="76" t="s">
        <v>19</v>
      </c>
      <c r="E13" s="8"/>
      <c r="F13" s="8"/>
      <c r="G13" s="71"/>
      <c r="H13" s="87"/>
      <c r="I13" s="81" t="s">
        <v>56</v>
      </c>
      <c r="J13" s="89"/>
    </row>
    <row r="14" spans="1:10" x14ac:dyDescent="0.25">
      <c r="A14" s="8"/>
      <c r="B14" s="8"/>
      <c r="C14" s="77">
        <v>4</v>
      </c>
      <c r="D14" s="76" t="s">
        <v>20</v>
      </c>
      <c r="E14" s="8"/>
      <c r="F14" s="8"/>
      <c r="G14" s="71"/>
      <c r="H14" s="87"/>
      <c r="I14" s="81" t="s">
        <v>57</v>
      </c>
      <c r="J14" s="89"/>
    </row>
    <row r="15" spans="1:10" x14ac:dyDescent="0.25">
      <c r="A15" s="8"/>
      <c r="B15" s="8"/>
      <c r="C15" s="77">
        <v>5</v>
      </c>
      <c r="D15" s="76" t="s">
        <v>43</v>
      </c>
      <c r="E15" s="8"/>
      <c r="F15" s="8"/>
      <c r="G15" s="71"/>
      <c r="H15" s="87"/>
      <c r="I15" s="81" t="s">
        <v>58</v>
      </c>
      <c r="J15" s="89"/>
    </row>
    <row r="16" spans="1:10" x14ac:dyDescent="0.25">
      <c r="A16" s="8"/>
      <c r="B16" s="8"/>
      <c r="C16" s="77">
        <v>6</v>
      </c>
      <c r="D16" s="76" t="s">
        <v>36</v>
      </c>
      <c r="E16" s="8"/>
      <c r="F16" s="8"/>
      <c r="G16" s="71"/>
      <c r="H16" s="87"/>
      <c r="I16" s="81" t="s">
        <v>59</v>
      </c>
      <c r="J16" s="74"/>
    </row>
    <row r="17" spans="1:10" x14ac:dyDescent="0.25">
      <c r="A17" s="8"/>
      <c r="B17" s="113"/>
      <c r="C17" s="113"/>
      <c r="D17" s="8"/>
      <c r="E17" s="8"/>
      <c r="F17" s="8"/>
      <c r="G17" s="71"/>
      <c r="H17" s="86"/>
      <c r="I17" s="81" t="s">
        <v>60</v>
      </c>
      <c r="J17" s="74"/>
    </row>
    <row r="18" spans="1:10" ht="15.75" x14ac:dyDescent="0.25">
      <c r="A18" s="8"/>
      <c r="B18" s="213" t="s">
        <v>35</v>
      </c>
      <c r="C18" s="213"/>
      <c r="D18" s="117"/>
      <c r="E18" s="107"/>
      <c r="F18" s="8"/>
      <c r="G18" s="71"/>
      <c r="H18" s="84"/>
      <c r="I18" s="3" t="s">
        <v>61</v>
      </c>
      <c r="J18" s="74"/>
    </row>
    <row r="19" spans="1:10" x14ac:dyDescent="0.25">
      <c r="A19" s="8"/>
      <c r="B19" s="118" t="s">
        <v>31</v>
      </c>
      <c r="C19" s="102" t="s">
        <v>29</v>
      </c>
      <c r="D19" s="115"/>
      <c r="E19" s="116"/>
      <c r="F19" s="8"/>
      <c r="G19" s="71"/>
      <c r="H19" s="86"/>
      <c r="I19" s="81" t="s">
        <v>69</v>
      </c>
      <c r="J19" s="74"/>
    </row>
    <row r="20" spans="1:10" x14ac:dyDescent="0.25">
      <c r="A20" s="8"/>
      <c r="B20" s="118" t="s">
        <v>30</v>
      </c>
      <c r="C20" s="119" t="s">
        <v>93</v>
      </c>
      <c r="D20" s="115"/>
      <c r="E20" s="78"/>
      <c r="F20" s="8"/>
      <c r="G20" s="71"/>
      <c r="H20" s="86"/>
      <c r="I20" s="81" t="s">
        <v>76</v>
      </c>
      <c r="J20" s="74"/>
    </row>
    <row r="21" spans="1:10" x14ac:dyDescent="0.25">
      <c r="A21" s="8"/>
      <c r="B21" s="118" t="s">
        <v>32</v>
      </c>
      <c r="C21" s="119" t="s">
        <v>239</v>
      </c>
      <c r="D21" s="115"/>
      <c r="E21" s="78"/>
      <c r="F21" s="8"/>
      <c r="G21" s="71"/>
      <c r="H21" s="87"/>
      <c r="I21" s="81" t="s">
        <v>138</v>
      </c>
      <c r="J21" s="74"/>
    </row>
    <row r="22" spans="1:10" x14ac:dyDescent="0.25">
      <c r="A22" s="8"/>
      <c r="B22" s="118" t="s">
        <v>33</v>
      </c>
      <c r="C22" s="102" t="s">
        <v>147</v>
      </c>
      <c r="D22" s="107"/>
      <c r="E22" s="114"/>
      <c r="F22" s="8"/>
      <c r="G22" s="71"/>
      <c r="H22" s="87"/>
      <c r="I22" s="81" t="s">
        <v>97</v>
      </c>
      <c r="J22" s="74"/>
    </row>
    <row r="23" spans="1:10" ht="15.75" x14ac:dyDescent="0.25">
      <c r="A23" s="8"/>
      <c r="B23" s="118" t="s">
        <v>34</v>
      </c>
      <c r="C23" s="208" t="s">
        <v>246</v>
      </c>
      <c r="D23" s="107"/>
      <c r="E23" s="8"/>
      <c r="F23" s="8"/>
      <c r="G23" s="71"/>
      <c r="H23" s="87"/>
      <c r="I23" s="81" t="s">
        <v>108</v>
      </c>
      <c r="J23" s="74"/>
    </row>
    <row r="24" spans="1:10" x14ac:dyDescent="0.25">
      <c r="A24" s="8"/>
      <c r="B24" s="107" t="s">
        <v>247</v>
      </c>
      <c r="C24" s="120" t="s">
        <v>248</v>
      </c>
      <c r="D24" s="107"/>
      <c r="E24" s="8"/>
      <c r="F24" s="8"/>
      <c r="G24" s="71"/>
      <c r="H24" s="87"/>
      <c r="I24" s="81" t="s">
        <v>142</v>
      </c>
      <c r="J24" s="74"/>
    </row>
    <row r="25" spans="1:10" x14ac:dyDescent="0.25">
      <c r="A25" s="8"/>
      <c r="B25" s="8"/>
      <c r="C25" s="119"/>
      <c r="D25" s="8"/>
      <c r="E25" s="8"/>
      <c r="F25" s="8"/>
      <c r="G25" s="72"/>
      <c r="H25" s="88"/>
      <c r="I25" s="83" t="s">
        <v>24</v>
      </c>
      <c r="J25" s="74"/>
    </row>
    <row r="26" spans="1:10" x14ac:dyDescent="0.25">
      <c r="A26" s="8"/>
      <c r="B26" s="118"/>
      <c r="C26" s="119"/>
      <c r="D26" s="8"/>
      <c r="E26" s="8"/>
      <c r="F26" s="8"/>
      <c r="G26" s="85">
        <v>3</v>
      </c>
      <c r="H26" s="130" t="str">
        <f>D13</f>
        <v>Implémentation</v>
      </c>
      <c r="I26" s="82" t="s">
        <v>72</v>
      </c>
      <c r="J26" s="8"/>
    </row>
    <row r="27" spans="1:10" x14ac:dyDescent="0.25">
      <c r="A27" s="8"/>
      <c r="B27" s="8"/>
      <c r="C27" s="8"/>
      <c r="D27" s="8"/>
      <c r="E27" s="8"/>
      <c r="F27" s="8"/>
      <c r="G27" s="71"/>
      <c r="H27" s="87"/>
      <c r="I27" s="80" t="s">
        <v>73</v>
      </c>
      <c r="J27" s="8"/>
    </row>
    <row r="28" spans="1:10" x14ac:dyDescent="0.25">
      <c r="A28" s="8"/>
      <c r="B28" s="8"/>
      <c r="C28" s="8"/>
      <c r="D28" s="8"/>
      <c r="E28" s="8"/>
      <c r="F28" s="8"/>
      <c r="G28" s="71"/>
      <c r="H28" s="87"/>
      <c r="I28" s="81" t="s">
        <v>78</v>
      </c>
      <c r="J28" s="8"/>
    </row>
    <row r="29" spans="1:10" x14ac:dyDescent="0.25">
      <c r="A29" s="8"/>
      <c r="B29" s="8"/>
      <c r="C29" s="8"/>
      <c r="D29" s="8"/>
      <c r="E29" s="8"/>
      <c r="F29" s="8"/>
      <c r="G29" s="71"/>
      <c r="H29" s="87"/>
      <c r="I29" s="80" t="s">
        <v>79</v>
      </c>
      <c r="J29" s="8"/>
    </row>
    <row r="30" spans="1:10" x14ac:dyDescent="0.25">
      <c r="A30" s="8"/>
      <c r="B30" s="8"/>
      <c r="C30" s="8"/>
      <c r="D30" s="8"/>
      <c r="E30" s="8"/>
      <c r="F30" s="8"/>
      <c r="G30" s="71"/>
      <c r="H30" s="87"/>
      <c r="I30" s="81" t="s">
        <v>80</v>
      </c>
      <c r="J30" s="8"/>
    </row>
    <row r="31" spans="1:10" x14ac:dyDescent="0.25">
      <c r="A31" s="8"/>
      <c r="B31" s="8"/>
      <c r="C31" s="8"/>
      <c r="D31" s="8"/>
      <c r="E31" s="8"/>
      <c r="F31" s="8"/>
      <c r="G31" s="71"/>
      <c r="H31" s="87"/>
      <c r="I31" s="80" t="s">
        <v>81</v>
      </c>
      <c r="J31" s="8"/>
    </row>
    <row r="32" spans="1:10" x14ac:dyDescent="0.25">
      <c r="A32" s="8"/>
      <c r="B32" s="8"/>
      <c r="C32" s="8"/>
      <c r="D32" s="8"/>
      <c r="E32" s="8"/>
      <c r="F32" s="8"/>
      <c r="G32" s="71"/>
      <c r="H32" s="87"/>
      <c r="I32" s="81" t="s">
        <v>82</v>
      </c>
      <c r="J32" s="8"/>
    </row>
    <row r="33" spans="1:10" x14ac:dyDescent="0.25">
      <c r="A33" s="8"/>
      <c r="B33" s="8"/>
      <c r="C33" s="8"/>
      <c r="D33" s="8"/>
      <c r="E33" s="8"/>
      <c r="F33" s="8"/>
      <c r="G33" s="71"/>
      <c r="H33" s="87"/>
      <c r="I33" s="80" t="s">
        <v>83</v>
      </c>
      <c r="J33" s="8"/>
    </row>
    <row r="34" spans="1:10" x14ac:dyDescent="0.25">
      <c r="A34" s="8"/>
      <c r="B34" s="8"/>
      <c r="C34" s="8"/>
      <c r="D34" s="8"/>
      <c r="E34" s="8"/>
      <c r="F34" s="8"/>
      <c r="G34" s="71"/>
      <c r="H34" s="87"/>
      <c r="I34" s="81" t="s">
        <v>84</v>
      </c>
      <c r="J34" s="8"/>
    </row>
    <row r="35" spans="1:10" x14ac:dyDescent="0.25">
      <c r="A35" s="8"/>
      <c r="B35" s="8"/>
      <c r="C35" s="8"/>
      <c r="D35" s="8"/>
      <c r="E35" s="8"/>
      <c r="F35" s="8"/>
      <c r="G35" s="71"/>
      <c r="H35" s="87"/>
      <c r="I35" s="80" t="s">
        <v>85</v>
      </c>
      <c r="J35" s="8"/>
    </row>
    <row r="36" spans="1:10" x14ac:dyDescent="0.25">
      <c r="A36" s="8"/>
      <c r="B36" s="8"/>
      <c r="C36" s="8"/>
      <c r="D36" s="8"/>
      <c r="E36" s="8"/>
      <c r="F36" s="8"/>
      <c r="G36" s="71"/>
      <c r="H36" s="90"/>
      <c r="I36" s="81" t="s">
        <v>86</v>
      </c>
      <c r="J36" s="8"/>
    </row>
    <row r="37" spans="1:10" x14ac:dyDescent="0.25">
      <c r="A37" s="8"/>
      <c r="B37" s="8"/>
      <c r="C37" s="8"/>
      <c r="D37" s="8"/>
      <c r="E37" s="8"/>
      <c r="F37" s="8"/>
      <c r="G37" s="91"/>
      <c r="H37" s="92"/>
      <c r="I37" s="80" t="s">
        <v>133</v>
      </c>
      <c r="J37" s="8"/>
    </row>
    <row r="38" spans="1:10" x14ac:dyDescent="0.25">
      <c r="A38" s="8"/>
      <c r="B38" s="8"/>
      <c r="C38" s="8"/>
      <c r="D38" s="8"/>
      <c r="E38" s="8"/>
      <c r="F38" s="8"/>
      <c r="G38" s="91"/>
      <c r="H38" s="92"/>
      <c r="I38" s="81" t="s">
        <v>87</v>
      </c>
      <c r="J38" s="8"/>
    </row>
    <row r="39" spans="1:10" x14ac:dyDescent="0.25">
      <c r="A39" s="8"/>
      <c r="B39" s="8"/>
      <c r="C39" s="8"/>
      <c r="D39" s="8"/>
      <c r="E39" s="8"/>
      <c r="F39" s="8"/>
      <c r="G39" s="73"/>
      <c r="H39" s="93"/>
      <c r="I39" s="80" t="s">
        <v>88</v>
      </c>
      <c r="J39" s="8"/>
    </row>
    <row r="40" spans="1:10" x14ac:dyDescent="0.25">
      <c r="A40" s="8"/>
      <c r="B40" s="8"/>
      <c r="C40" s="8"/>
      <c r="D40" s="8"/>
      <c r="E40" s="8"/>
      <c r="F40" s="8"/>
      <c r="G40" s="73"/>
      <c r="H40" s="93"/>
      <c r="I40" s="81" t="s">
        <v>89</v>
      </c>
      <c r="J40" s="8"/>
    </row>
    <row r="41" spans="1:10" x14ac:dyDescent="0.25">
      <c r="A41" s="8"/>
      <c r="B41" s="8"/>
      <c r="C41" s="8"/>
      <c r="D41" s="8"/>
      <c r="E41" s="8"/>
      <c r="F41" s="8"/>
      <c r="G41" s="73"/>
      <c r="H41" s="93"/>
      <c r="I41" s="80" t="s">
        <v>90</v>
      </c>
      <c r="J41" s="8"/>
    </row>
    <row r="42" spans="1:10" x14ac:dyDescent="0.25">
      <c r="A42" s="8"/>
      <c r="B42" s="8"/>
      <c r="C42" s="8"/>
      <c r="D42" s="8"/>
      <c r="E42" s="8"/>
      <c r="F42" s="8"/>
      <c r="G42" s="73"/>
      <c r="H42" s="93"/>
      <c r="I42" s="81" t="s">
        <v>91</v>
      </c>
      <c r="J42" s="8"/>
    </row>
    <row r="43" spans="1:10" x14ac:dyDescent="0.25">
      <c r="A43" s="8"/>
      <c r="B43" s="8"/>
      <c r="C43" s="8"/>
      <c r="D43" s="8"/>
      <c r="E43" s="8"/>
      <c r="F43" s="8"/>
      <c r="G43" s="73"/>
      <c r="H43" s="93"/>
      <c r="I43" s="80" t="s">
        <v>92</v>
      </c>
      <c r="J43" s="8"/>
    </row>
    <row r="44" spans="1:10" x14ac:dyDescent="0.25">
      <c r="A44" s="8"/>
      <c r="B44" s="8"/>
      <c r="C44" s="8"/>
      <c r="D44" s="8"/>
      <c r="E44" s="8"/>
      <c r="F44" s="8"/>
      <c r="G44" s="73"/>
      <c r="H44" s="93"/>
      <c r="I44" s="81" t="s">
        <v>160</v>
      </c>
      <c r="J44" s="8"/>
    </row>
    <row r="45" spans="1:10" x14ac:dyDescent="0.25">
      <c r="A45" s="8"/>
      <c r="B45" s="8"/>
      <c r="C45" s="8"/>
      <c r="D45" s="8"/>
      <c r="E45" s="8"/>
      <c r="F45" s="8"/>
      <c r="G45" s="73"/>
      <c r="H45" s="93"/>
      <c r="I45" s="80" t="s">
        <v>161</v>
      </c>
      <c r="J45" s="8"/>
    </row>
    <row r="46" spans="1:10" x14ac:dyDescent="0.25">
      <c r="A46" s="8"/>
      <c r="B46" s="8"/>
      <c r="C46" s="8"/>
      <c r="D46" s="8"/>
      <c r="E46" s="8"/>
      <c r="F46" s="8"/>
      <c r="G46" s="73"/>
      <c r="H46" s="93"/>
      <c r="I46" s="81" t="s">
        <v>177</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0" t="str">
        <f>D14</f>
        <v>Documentation</v>
      </c>
      <c r="I49" s="2" t="s">
        <v>98</v>
      </c>
      <c r="J49" s="8"/>
    </row>
    <row r="50" spans="1:10" x14ac:dyDescent="0.25">
      <c r="A50" s="8"/>
      <c r="B50" s="8"/>
      <c r="C50" s="8"/>
      <c r="D50" s="8"/>
      <c r="E50" s="8"/>
      <c r="F50" s="8"/>
      <c r="G50" s="71"/>
      <c r="H50" s="87"/>
      <c r="I50" s="3" t="s">
        <v>49</v>
      </c>
      <c r="J50" s="8"/>
    </row>
    <row r="51" spans="1:10" x14ac:dyDescent="0.25">
      <c r="A51" s="8"/>
      <c r="B51" s="8"/>
      <c r="C51" s="8"/>
      <c r="D51" s="8"/>
      <c r="E51" s="8"/>
      <c r="F51" s="8"/>
      <c r="G51" s="71"/>
      <c r="H51" s="87"/>
      <c r="I51" s="3" t="s">
        <v>50</v>
      </c>
      <c r="J51" s="8"/>
    </row>
    <row r="52" spans="1:10" x14ac:dyDescent="0.25">
      <c r="A52" s="8"/>
      <c r="B52" s="8"/>
      <c r="C52" s="8"/>
      <c r="D52" s="8"/>
      <c r="E52" s="8"/>
      <c r="F52" s="8"/>
      <c r="G52" s="71"/>
      <c r="H52" s="87"/>
      <c r="I52" s="3" t="s">
        <v>131</v>
      </c>
      <c r="J52" s="8"/>
    </row>
    <row r="53" spans="1:10" x14ac:dyDescent="0.25">
      <c r="A53" s="8"/>
      <c r="B53" s="8"/>
      <c r="C53" s="8"/>
      <c r="D53" s="8"/>
      <c r="E53" s="8"/>
      <c r="F53" s="8"/>
      <c r="G53" s="71"/>
      <c r="H53" s="87"/>
      <c r="I53" s="3" t="s">
        <v>74</v>
      </c>
      <c r="J53" s="8"/>
    </row>
    <row r="54" spans="1:10" x14ac:dyDescent="0.25">
      <c r="A54" s="8"/>
      <c r="B54" s="8"/>
      <c r="C54" s="8"/>
      <c r="D54" s="8"/>
      <c r="E54" s="8"/>
      <c r="F54" s="8"/>
      <c r="G54" s="72"/>
      <c r="H54" s="88"/>
      <c r="I54" s="4" t="s">
        <v>100</v>
      </c>
      <c r="J54" s="8"/>
    </row>
    <row r="55" spans="1:10" x14ac:dyDescent="0.25">
      <c r="A55" s="8"/>
      <c r="B55" s="8"/>
      <c r="C55" s="8"/>
      <c r="D55" s="8"/>
      <c r="E55" s="8"/>
      <c r="F55" s="8"/>
      <c r="G55" s="85">
        <v>5</v>
      </c>
      <c r="H55" s="130" t="str">
        <f>D15</f>
        <v>Test</v>
      </c>
      <c r="I55" s="82" t="s">
        <v>65</v>
      </c>
      <c r="J55" s="8"/>
    </row>
    <row r="56" spans="1:10" x14ac:dyDescent="0.25">
      <c r="A56" s="8"/>
      <c r="B56" s="8"/>
      <c r="C56" s="8"/>
      <c r="D56" s="8"/>
      <c r="E56" s="8"/>
      <c r="F56" s="8"/>
      <c r="G56" s="71"/>
      <c r="H56" s="87"/>
      <c r="I56" s="81" t="s">
        <v>66</v>
      </c>
      <c r="J56" s="8"/>
    </row>
    <row r="57" spans="1:10" x14ac:dyDescent="0.25">
      <c r="A57" s="8"/>
      <c r="B57" s="8"/>
      <c r="C57" s="8"/>
      <c r="D57" s="8"/>
      <c r="E57" s="8"/>
      <c r="F57" s="8"/>
      <c r="G57" s="71"/>
      <c r="H57" s="87"/>
      <c r="I57" s="81" t="s">
        <v>67</v>
      </c>
      <c r="J57" s="8"/>
    </row>
    <row r="58" spans="1:10" x14ac:dyDescent="0.25">
      <c r="A58" s="8"/>
      <c r="B58" s="8"/>
      <c r="C58" s="8"/>
      <c r="D58" s="8"/>
      <c r="E58" s="8"/>
      <c r="F58" s="8"/>
      <c r="G58" s="71"/>
      <c r="H58" s="87"/>
      <c r="I58" s="81" t="s">
        <v>68</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1" t="str">
        <f>D16</f>
        <v>Réunion</v>
      </c>
      <c r="I61" s="82" t="s">
        <v>62</v>
      </c>
      <c r="J61" s="8"/>
    </row>
    <row r="62" spans="1:10" x14ac:dyDescent="0.25">
      <c r="A62" s="8"/>
      <c r="B62" s="8"/>
      <c r="C62" s="8"/>
      <c r="D62" s="8"/>
      <c r="E62" s="8"/>
      <c r="F62" s="8"/>
      <c r="G62" s="71"/>
      <c r="H62" s="87"/>
      <c r="I62" s="81" t="s">
        <v>63</v>
      </c>
      <c r="J62" s="8"/>
    </row>
    <row r="63" spans="1:10" x14ac:dyDescent="0.25">
      <c r="A63" s="8"/>
      <c r="B63" s="8"/>
      <c r="C63" s="8"/>
      <c r="D63" s="8"/>
      <c r="E63" s="8"/>
      <c r="F63" s="8"/>
      <c r="G63" s="71"/>
      <c r="H63" s="87"/>
      <c r="I63" s="81" t="s">
        <v>257</v>
      </c>
      <c r="J63" s="8"/>
    </row>
    <row r="64" spans="1:10" x14ac:dyDescent="0.25">
      <c r="A64" s="8"/>
      <c r="B64" s="8"/>
      <c r="C64" s="8"/>
      <c r="D64" s="8"/>
      <c r="E64" s="8"/>
      <c r="F64" s="8"/>
      <c r="G64" s="71"/>
      <c r="H64" s="87"/>
      <c r="I64" s="81" t="s">
        <v>64</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2"/>
  <sheetViews>
    <sheetView zoomScaleNormal="100" zoomScaleSheetLayoutView="70" zoomScalePageLayoutView="70" workbookViewId="0">
      <selection activeCell="AT18" sqref="AT18"/>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60.75" customHeight="1" thickBot="1" x14ac:dyDescent="0.3">
      <c r="B1" s="214" t="s">
        <v>116</v>
      </c>
      <c r="C1" s="215"/>
      <c r="D1" s="215"/>
      <c r="E1" s="215"/>
      <c r="F1" s="215"/>
      <c r="G1" s="215"/>
      <c r="H1" s="215"/>
      <c r="I1" s="215"/>
      <c r="J1" s="215"/>
      <c r="K1" s="215"/>
      <c r="L1" s="215"/>
      <c r="M1" s="215"/>
      <c r="N1" s="215"/>
      <c r="O1" s="215"/>
      <c r="P1" s="215"/>
      <c r="Q1" s="215"/>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5"/>
      <c r="AS1" s="215"/>
      <c r="AT1" s="215"/>
      <c r="AU1" s="215"/>
      <c r="AV1" s="215"/>
      <c r="AW1" s="215"/>
      <c r="AX1" s="215"/>
      <c r="AY1" s="215"/>
      <c r="AZ1" s="215"/>
      <c r="BA1" s="215"/>
      <c r="BB1" s="215"/>
      <c r="BC1" s="215"/>
      <c r="BD1" s="215"/>
      <c r="BE1" s="215"/>
      <c r="BF1" s="215"/>
      <c r="BG1" s="215"/>
      <c r="BH1" s="215"/>
      <c r="BI1" s="215"/>
      <c r="BJ1" s="215"/>
      <c r="BK1" s="215"/>
      <c r="BL1" s="215"/>
      <c r="BM1" s="215"/>
      <c r="BN1" s="215"/>
      <c r="BO1" s="215"/>
      <c r="BP1" s="215"/>
      <c r="BQ1" s="215"/>
      <c r="BR1" s="215"/>
      <c r="BS1" s="215"/>
      <c r="BT1" s="215"/>
      <c r="BU1" s="215"/>
      <c r="BV1" s="215"/>
      <c r="BW1" s="215"/>
      <c r="BX1" s="215"/>
      <c r="BY1" s="215"/>
      <c r="BZ1" s="215"/>
      <c r="CA1" s="215"/>
      <c r="CB1" s="215"/>
      <c r="CC1" s="215"/>
      <c r="CD1" s="215"/>
      <c r="CE1" s="215"/>
      <c r="CF1" s="215"/>
      <c r="CG1" s="215"/>
      <c r="CH1" s="215"/>
      <c r="CI1" s="215"/>
      <c r="CJ1" s="215"/>
      <c r="CK1" s="215"/>
      <c r="CL1" s="215"/>
      <c r="CM1" s="215"/>
      <c r="CN1" s="215"/>
      <c r="CO1" s="215"/>
      <c r="CP1" s="215"/>
      <c r="CQ1" s="215"/>
      <c r="CR1" s="215"/>
      <c r="CS1" s="215"/>
      <c r="CT1" s="215"/>
      <c r="CU1" s="215"/>
      <c r="CV1" s="215"/>
      <c r="CW1" s="215"/>
      <c r="CX1" s="215"/>
      <c r="CY1" s="215"/>
      <c r="CZ1" s="215"/>
      <c r="DA1" s="215"/>
      <c r="DB1" s="215"/>
      <c r="DC1" s="215"/>
      <c r="DD1" s="215"/>
      <c r="DE1" s="215"/>
      <c r="DF1" s="215"/>
      <c r="DG1" s="215"/>
      <c r="DH1" s="215"/>
      <c r="DI1" s="215"/>
      <c r="DJ1" s="215"/>
      <c r="DK1" s="215"/>
      <c r="DL1" s="215"/>
      <c r="DM1" s="215"/>
      <c r="DN1" s="215"/>
      <c r="DO1" s="215"/>
      <c r="DP1" s="215"/>
      <c r="DQ1" s="215"/>
      <c r="DR1" s="215"/>
      <c r="DS1" s="216"/>
    </row>
    <row r="2" spans="2:129" s="99" customFormat="1" ht="62.25" customHeight="1" x14ac:dyDescent="0.5">
      <c r="B2" s="193"/>
      <c r="C2" s="224">
        <f>Base!B6</f>
        <v>44319</v>
      </c>
      <c r="D2" s="221"/>
      <c r="E2" s="221"/>
      <c r="F2" s="221"/>
      <c r="G2" s="221"/>
      <c r="H2" s="221"/>
      <c r="I2" s="221"/>
      <c r="J2" s="223"/>
      <c r="K2" s="220">
        <f>C2+1</f>
        <v>44320</v>
      </c>
      <c r="L2" s="221"/>
      <c r="M2" s="221"/>
      <c r="N2" s="221"/>
      <c r="O2" s="223"/>
      <c r="P2" s="220">
        <f>K2+1</f>
        <v>44321</v>
      </c>
      <c r="Q2" s="221"/>
      <c r="R2" s="221"/>
      <c r="S2" s="221"/>
      <c r="T2" s="221"/>
      <c r="U2" s="221"/>
      <c r="V2" s="221"/>
      <c r="W2" s="221"/>
      <c r="X2" s="223"/>
      <c r="Y2" s="220">
        <f>P2+1</f>
        <v>44322</v>
      </c>
      <c r="Z2" s="221"/>
      <c r="AA2" s="221"/>
      <c r="AB2" s="221"/>
      <c r="AC2" s="221"/>
      <c r="AD2" s="221"/>
      <c r="AE2" s="221"/>
      <c r="AF2" s="223"/>
      <c r="AG2" s="224">
        <v>44326</v>
      </c>
      <c r="AH2" s="221"/>
      <c r="AI2" s="221"/>
      <c r="AJ2" s="221"/>
      <c r="AK2" s="221"/>
      <c r="AL2" s="221"/>
      <c r="AM2" s="221"/>
      <c r="AN2" s="223"/>
      <c r="AO2" s="220">
        <f>AG2+1</f>
        <v>44327</v>
      </c>
      <c r="AP2" s="221"/>
      <c r="AQ2" s="221"/>
      <c r="AR2" s="221"/>
      <c r="AS2" s="223"/>
      <c r="AT2" s="220">
        <f>AO2+1</f>
        <v>44328</v>
      </c>
      <c r="AU2" s="221"/>
      <c r="AV2" s="221"/>
      <c r="AW2" s="221"/>
      <c r="AX2" s="221"/>
      <c r="AY2" s="221"/>
      <c r="AZ2" s="221"/>
      <c r="BA2" s="221"/>
      <c r="BB2" s="223"/>
      <c r="BC2" s="224">
        <f>AT2+5</f>
        <v>44333</v>
      </c>
      <c r="BD2" s="221"/>
      <c r="BE2" s="221"/>
      <c r="BF2" s="221"/>
      <c r="BG2" s="221"/>
      <c r="BH2" s="221"/>
      <c r="BI2" s="221"/>
      <c r="BJ2" s="223"/>
      <c r="BK2" s="220">
        <f>BC2+1</f>
        <v>44334</v>
      </c>
      <c r="BL2" s="221"/>
      <c r="BM2" s="221"/>
      <c r="BN2" s="221"/>
      <c r="BO2" s="223"/>
      <c r="BP2" s="220">
        <f>BK2+1</f>
        <v>44335</v>
      </c>
      <c r="BQ2" s="221"/>
      <c r="BR2" s="221"/>
      <c r="BS2" s="221"/>
      <c r="BT2" s="221"/>
      <c r="BU2" s="221"/>
      <c r="BV2" s="221"/>
      <c r="BW2" s="221"/>
      <c r="BX2" s="223"/>
      <c r="BY2" s="220">
        <f>BP2+1</f>
        <v>44336</v>
      </c>
      <c r="BZ2" s="221"/>
      <c r="CA2" s="221"/>
      <c r="CB2" s="221"/>
      <c r="CC2" s="221"/>
      <c r="CD2" s="221"/>
      <c r="CE2" s="221"/>
      <c r="CF2" s="223"/>
      <c r="CG2" s="220">
        <f>BY2+5</f>
        <v>44341</v>
      </c>
      <c r="CH2" s="221"/>
      <c r="CI2" s="221"/>
      <c r="CJ2" s="221"/>
      <c r="CK2" s="223"/>
      <c r="CL2" s="220">
        <f>CG2+1</f>
        <v>44342</v>
      </c>
      <c r="CM2" s="221"/>
      <c r="CN2" s="221"/>
      <c r="CO2" s="221"/>
      <c r="CP2" s="221"/>
      <c r="CQ2" s="221"/>
      <c r="CR2" s="221"/>
      <c r="CS2" s="221"/>
      <c r="CT2" s="223"/>
      <c r="CU2" s="220">
        <f>CL2+1</f>
        <v>44343</v>
      </c>
      <c r="CV2" s="221"/>
      <c r="CW2" s="221"/>
      <c r="CX2" s="221"/>
      <c r="CY2" s="221"/>
      <c r="CZ2" s="221"/>
      <c r="DA2" s="221"/>
      <c r="DB2" s="223"/>
      <c r="DC2" s="224">
        <f>CU2+4</f>
        <v>44347</v>
      </c>
      <c r="DD2" s="221"/>
      <c r="DE2" s="221"/>
      <c r="DF2" s="221"/>
      <c r="DG2" s="221"/>
      <c r="DH2" s="221"/>
      <c r="DI2" s="221"/>
      <c r="DJ2" s="223"/>
      <c r="DK2" s="220">
        <f>DC2+1</f>
        <v>44348</v>
      </c>
      <c r="DL2" s="221"/>
      <c r="DM2" s="221"/>
      <c r="DN2" s="221"/>
      <c r="DO2" s="223"/>
      <c r="DP2" s="220">
        <f>DK2+1</f>
        <v>44349</v>
      </c>
      <c r="DQ2" s="221"/>
      <c r="DR2" s="221"/>
      <c r="DS2" s="222"/>
      <c r="DT2" s="192"/>
      <c r="DU2" s="192"/>
      <c r="DV2" s="192"/>
      <c r="DW2" s="192"/>
      <c r="DX2" s="192"/>
      <c r="DY2" s="192"/>
    </row>
    <row r="3" spans="2:129" s="15" customFormat="1" ht="19.5" thickBot="1" x14ac:dyDescent="0.3">
      <c r="B3" s="70" t="s">
        <v>8</v>
      </c>
      <c r="C3" s="225">
        <f>_xlfn.ISOWEEKNUM(C2)</f>
        <v>18</v>
      </c>
      <c r="D3" s="225"/>
      <c r="E3" s="225"/>
      <c r="F3" s="225"/>
      <c r="G3" s="225"/>
      <c r="H3" s="225"/>
      <c r="I3" s="225"/>
      <c r="J3" s="225"/>
      <c r="K3" s="225"/>
      <c r="L3" s="225"/>
      <c r="M3" s="225"/>
      <c r="N3" s="225"/>
      <c r="O3" s="225"/>
      <c r="P3" s="225"/>
      <c r="Q3" s="225"/>
      <c r="R3" s="225"/>
      <c r="S3" s="225"/>
      <c r="T3" s="225"/>
      <c r="U3" s="225"/>
      <c r="V3" s="225"/>
      <c r="W3" s="225"/>
      <c r="X3" s="225"/>
      <c r="Y3" s="225"/>
      <c r="Z3" s="225"/>
      <c r="AA3" s="225"/>
      <c r="AB3" s="225"/>
      <c r="AC3" s="225"/>
      <c r="AD3" s="225"/>
      <c r="AE3" s="225"/>
      <c r="AF3" s="225"/>
      <c r="AG3" s="226">
        <f>_xlfn.ISOWEEKNUM(AG2)</f>
        <v>19</v>
      </c>
      <c r="AH3" s="225"/>
      <c r="AI3" s="225"/>
      <c r="AJ3" s="225"/>
      <c r="AK3" s="225"/>
      <c r="AL3" s="225"/>
      <c r="AM3" s="225"/>
      <c r="AN3" s="225"/>
      <c r="AO3" s="225"/>
      <c r="AP3" s="225"/>
      <c r="AQ3" s="225"/>
      <c r="AR3" s="225"/>
      <c r="AS3" s="225"/>
      <c r="AT3" s="225"/>
      <c r="AU3" s="225"/>
      <c r="AV3" s="225"/>
      <c r="AW3" s="225"/>
      <c r="AX3" s="225"/>
      <c r="AY3" s="225"/>
      <c r="AZ3" s="225"/>
      <c r="BA3" s="225"/>
      <c r="BB3" s="225"/>
      <c r="BC3" s="225">
        <f>_xlfn.ISOWEEKNUM(BC2)</f>
        <v>20</v>
      </c>
      <c r="BD3" s="225"/>
      <c r="BE3" s="225"/>
      <c r="BF3" s="225"/>
      <c r="BG3" s="225"/>
      <c r="BH3" s="225"/>
      <c r="BI3" s="225"/>
      <c r="BJ3" s="225"/>
      <c r="BK3" s="225"/>
      <c r="BL3" s="225"/>
      <c r="BM3" s="225"/>
      <c r="BN3" s="225"/>
      <c r="BO3" s="225"/>
      <c r="BP3" s="225"/>
      <c r="BQ3" s="225"/>
      <c r="BR3" s="225"/>
      <c r="BS3" s="225"/>
      <c r="BT3" s="225"/>
      <c r="BU3" s="225"/>
      <c r="BV3" s="225"/>
      <c r="BW3" s="225"/>
      <c r="BX3" s="225"/>
      <c r="BY3" s="225"/>
      <c r="BZ3" s="225"/>
      <c r="CA3" s="225"/>
      <c r="CB3" s="225"/>
      <c r="CC3" s="225"/>
      <c r="CD3" s="225"/>
      <c r="CE3" s="225"/>
      <c r="CF3" s="225"/>
      <c r="CG3" s="225"/>
      <c r="CH3" s="225"/>
      <c r="CI3" s="225"/>
      <c r="CJ3" s="225"/>
      <c r="CK3" s="225"/>
      <c r="CL3" s="225"/>
      <c r="CM3" s="225"/>
      <c r="CN3" s="225"/>
      <c r="CO3" s="225"/>
      <c r="CP3" s="225"/>
      <c r="CQ3" s="225"/>
      <c r="CR3" s="225"/>
      <c r="CS3" s="225"/>
      <c r="CT3" s="225"/>
      <c r="CU3" s="225"/>
      <c r="CV3" s="225"/>
      <c r="CW3" s="225"/>
      <c r="CX3" s="225"/>
      <c r="CY3" s="225"/>
      <c r="CZ3" s="225"/>
      <c r="DA3" s="225"/>
      <c r="DB3" s="225"/>
      <c r="DC3" s="226">
        <f>_xlfn.ISOWEEKNUM(DC2)</f>
        <v>22</v>
      </c>
      <c r="DD3" s="225"/>
      <c r="DE3" s="225"/>
      <c r="DF3" s="225"/>
      <c r="DG3" s="225"/>
      <c r="DH3" s="225"/>
      <c r="DI3" s="225"/>
      <c r="DJ3" s="225"/>
      <c r="DK3" s="225"/>
      <c r="DL3" s="225"/>
      <c r="DM3" s="225"/>
      <c r="DN3" s="225"/>
      <c r="DO3" s="225"/>
      <c r="DP3" s="225"/>
      <c r="DQ3" s="225"/>
      <c r="DR3" s="225"/>
      <c r="DS3" s="227"/>
      <c r="DT3" s="16"/>
      <c r="DU3" s="16"/>
      <c r="DV3" s="16"/>
      <c r="DW3" s="16"/>
      <c r="DX3" s="16"/>
      <c r="DY3" s="16"/>
    </row>
    <row r="4" spans="2:129" s="13" customFormat="1" ht="15.75" customHeight="1" x14ac:dyDescent="0.25">
      <c r="B4" s="234" t="str">
        <f>Base!H4</f>
        <v>Analyse</v>
      </c>
      <c r="C4" s="25"/>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5"/>
    </row>
    <row r="5" spans="2:129" s="13" customFormat="1" ht="15.75" customHeight="1" thickBot="1" x14ac:dyDescent="0.3">
      <c r="B5" s="235"/>
      <c r="C5" s="2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c r="CD5" s="36"/>
      <c r="CE5" s="36"/>
      <c r="CF5" s="36"/>
      <c r="CG5" s="36"/>
      <c r="CH5" s="36"/>
      <c r="CI5" s="36"/>
      <c r="CJ5" s="36"/>
      <c r="CK5" s="36"/>
      <c r="CL5" s="36"/>
      <c r="CM5" s="36"/>
      <c r="CN5" s="36"/>
      <c r="CO5" s="36"/>
      <c r="CP5" s="36"/>
      <c r="CQ5" s="36"/>
      <c r="CR5" s="36"/>
      <c r="CS5" s="36"/>
      <c r="CT5" s="36"/>
      <c r="CU5" s="36"/>
      <c r="CV5" s="36"/>
      <c r="CW5" s="36"/>
      <c r="CX5" s="36"/>
      <c r="CY5" s="36"/>
      <c r="CZ5" s="36"/>
      <c r="DA5" s="36"/>
      <c r="DB5" s="36"/>
      <c r="DC5" s="36"/>
      <c r="DD5" s="36"/>
      <c r="DE5" s="36"/>
      <c r="DF5" s="36"/>
      <c r="DG5" s="36"/>
      <c r="DH5" s="36"/>
      <c r="DI5" s="36"/>
      <c r="DJ5" s="36"/>
      <c r="DK5" s="36"/>
      <c r="DL5" s="36"/>
      <c r="DM5" s="36"/>
      <c r="DN5" s="36"/>
      <c r="DO5" s="36"/>
      <c r="DP5" s="36"/>
      <c r="DQ5" s="36"/>
      <c r="DR5" s="36"/>
      <c r="DS5" s="37"/>
    </row>
    <row r="6" spans="2:129" x14ac:dyDescent="0.25">
      <c r="B6" s="1" t="str">
        <f>Base!I4</f>
        <v>101 planification initiale</v>
      </c>
      <c r="C6" s="64"/>
      <c r="D6" s="39"/>
      <c r="E6" s="154"/>
      <c r="F6" s="154"/>
      <c r="G6" s="39"/>
      <c r="H6" s="39"/>
      <c r="I6" s="39"/>
      <c r="J6" s="39"/>
      <c r="K6" s="39"/>
      <c r="L6" s="39"/>
      <c r="M6" s="39"/>
      <c r="N6" s="39"/>
      <c r="O6" s="38"/>
      <c r="P6" s="38"/>
      <c r="Q6" s="38"/>
      <c r="R6" s="38"/>
      <c r="S6" s="38"/>
      <c r="T6" s="38"/>
      <c r="U6" s="38"/>
      <c r="V6" s="38"/>
      <c r="W6" s="38"/>
      <c r="X6" s="38"/>
      <c r="Y6" s="38"/>
      <c r="Z6" s="38"/>
      <c r="AA6" s="38"/>
      <c r="AB6" s="38"/>
      <c r="AC6" s="38"/>
      <c r="AD6" s="38"/>
      <c r="AE6" s="38"/>
      <c r="AF6" s="38"/>
      <c r="AG6" s="64"/>
      <c r="AH6" s="39"/>
      <c r="AI6" s="39"/>
      <c r="AJ6" s="39"/>
      <c r="AK6" s="39"/>
      <c r="AL6" s="39"/>
      <c r="AM6" s="39"/>
      <c r="AN6" s="39"/>
      <c r="AO6" s="39"/>
      <c r="AP6" s="39"/>
      <c r="AQ6" s="39"/>
      <c r="AR6" s="39"/>
      <c r="AS6" s="38"/>
      <c r="AT6" s="38"/>
      <c r="AU6" s="38"/>
      <c r="AV6" s="38"/>
      <c r="AW6" s="38"/>
      <c r="AX6" s="38"/>
      <c r="AY6" s="38"/>
      <c r="AZ6" s="38"/>
      <c r="BA6" s="38"/>
      <c r="BB6" s="38"/>
      <c r="BC6" s="110"/>
      <c r="BD6" s="111"/>
      <c r="BE6" s="111"/>
      <c r="BF6" s="111"/>
      <c r="BG6" s="111"/>
      <c r="BH6" s="111"/>
      <c r="BI6" s="111"/>
      <c r="BJ6" s="111"/>
      <c r="BK6" s="111"/>
      <c r="BL6" s="111"/>
      <c r="BM6" s="111"/>
      <c r="BN6" s="111"/>
      <c r="BO6" s="112"/>
      <c r="BP6" s="112"/>
      <c r="BQ6" s="112"/>
      <c r="BR6" s="112"/>
      <c r="BS6" s="112"/>
      <c r="BT6" s="112"/>
      <c r="BU6" s="112"/>
      <c r="BV6" s="112"/>
      <c r="BW6" s="112"/>
      <c r="BX6" s="112"/>
      <c r="BY6" s="112"/>
      <c r="BZ6" s="112"/>
      <c r="CA6" s="112"/>
      <c r="CB6" s="112"/>
      <c r="CC6" s="112"/>
      <c r="CD6" s="112"/>
      <c r="CE6" s="112"/>
      <c r="CF6" s="185"/>
      <c r="CG6" s="39"/>
      <c r="CH6" s="39"/>
      <c r="CI6" s="39"/>
      <c r="CJ6" s="39"/>
      <c r="CK6" s="38"/>
      <c r="CL6" s="38"/>
      <c r="CM6" s="38"/>
      <c r="CN6" s="38"/>
      <c r="CO6" s="38"/>
      <c r="CP6" s="38"/>
      <c r="CQ6" s="38"/>
      <c r="CR6" s="38"/>
      <c r="CS6" s="38"/>
      <c r="CT6" s="38"/>
      <c r="CU6" s="38"/>
      <c r="CV6" s="38"/>
      <c r="CW6" s="38"/>
      <c r="CX6" s="38"/>
      <c r="CY6" s="38"/>
      <c r="CZ6" s="38"/>
      <c r="DA6" s="38"/>
      <c r="DB6" s="38"/>
      <c r="DC6" s="64"/>
      <c r="DD6" s="39"/>
      <c r="DE6" s="39"/>
      <c r="DF6" s="39"/>
      <c r="DG6" s="39"/>
      <c r="DH6" s="39"/>
      <c r="DI6" s="39"/>
      <c r="DJ6" s="39"/>
      <c r="DK6" s="39"/>
      <c r="DL6" s="39"/>
      <c r="DM6" s="39"/>
      <c r="DN6" s="39"/>
      <c r="DO6" s="38"/>
      <c r="DP6" s="38"/>
      <c r="DQ6" s="38"/>
      <c r="DR6" s="38"/>
      <c r="DS6" s="60"/>
    </row>
    <row r="7" spans="2:129" x14ac:dyDescent="0.25">
      <c r="B7" s="1" t="str">
        <f>Base!I5</f>
        <v>102 objectifs du projet</v>
      </c>
      <c r="C7" s="64"/>
      <c r="D7" s="39"/>
      <c r="E7" s="39"/>
      <c r="F7" s="39"/>
      <c r="G7" s="154"/>
      <c r="H7" s="154"/>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64"/>
      <c r="BD7" s="39"/>
      <c r="BE7" s="39"/>
      <c r="BF7" s="39"/>
      <c r="BG7" s="39"/>
      <c r="BH7" s="39"/>
      <c r="BI7" s="39"/>
      <c r="BJ7" s="39"/>
      <c r="BK7" s="39"/>
      <c r="BL7" s="39"/>
      <c r="BM7" s="39"/>
      <c r="BN7" s="39"/>
      <c r="BO7" s="38"/>
      <c r="BP7" s="38"/>
      <c r="BQ7" s="38"/>
      <c r="BR7" s="38"/>
      <c r="BS7" s="38"/>
      <c r="BT7" s="38"/>
      <c r="BU7" s="38"/>
      <c r="BV7" s="38"/>
      <c r="BW7" s="38"/>
      <c r="BX7" s="38"/>
      <c r="BY7" s="38"/>
      <c r="BZ7" s="38"/>
      <c r="CA7" s="38"/>
      <c r="CB7" s="38"/>
      <c r="CC7" s="38"/>
      <c r="CD7" s="38"/>
      <c r="CE7" s="38"/>
      <c r="CF7" s="60"/>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Base!I6</f>
        <v>103 introduction du projet</v>
      </c>
      <c r="C8" s="64"/>
      <c r="D8" s="39"/>
      <c r="E8" s="39"/>
      <c r="F8" s="39"/>
      <c r="G8" s="39"/>
      <c r="H8" s="154"/>
      <c r="I8" s="154"/>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ht="30" x14ac:dyDescent="0.25">
      <c r="B9" s="1" t="str">
        <f>Base!I7</f>
        <v>104 découpage du projet en tâches distinctes</v>
      </c>
      <c r="C9" s="64"/>
      <c r="D9" s="154"/>
      <c r="E9" s="154"/>
      <c r="F9" s="39"/>
      <c r="G9" s="39"/>
      <c r="H9" s="39"/>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x14ac:dyDescent="0.25">
      <c r="B10" s="1" t="str">
        <f>Base!I8</f>
        <v>105 -</v>
      </c>
      <c r="C10" s="64"/>
      <c r="D10" s="39"/>
      <c r="E10" s="39"/>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ht="15" customHeight="1" thickBot="1" x14ac:dyDescent="0.3">
      <c r="B11" s="1" t="str">
        <f>Base!I9</f>
        <v>106 -</v>
      </c>
      <c r="C11" s="66"/>
      <c r="D11" s="41"/>
      <c r="E11" s="41"/>
      <c r="F11" s="41"/>
      <c r="G11" s="41"/>
      <c r="H11" s="41"/>
      <c r="I11" s="41"/>
      <c r="J11" s="41"/>
      <c r="K11" s="41"/>
      <c r="L11" s="41"/>
      <c r="M11" s="41"/>
      <c r="N11" s="41"/>
      <c r="O11" s="40"/>
      <c r="P11" s="40"/>
      <c r="Q11" s="40"/>
      <c r="R11" s="40"/>
      <c r="S11" s="40"/>
      <c r="T11" s="40"/>
      <c r="U11" s="40"/>
      <c r="V11" s="40"/>
      <c r="W11" s="40"/>
      <c r="X11" s="40"/>
      <c r="Y11" s="40"/>
      <c r="Z11" s="40"/>
      <c r="AA11" s="40"/>
      <c r="AB11" s="40"/>
      <c r="AC11" s="40"/>
      <c r="AD11" s="40"/>
      <c r="AE11" s="40"/>
      <c r="AF11" s="40"/>
      <c r="AG11" s="66"/>
      <c r="AH11" s="41"/>
      <c r="AI11" s="41"/>
      <c r="AJ11" s="41"/>
      <c r="AK11" s="41"/>
      <c r="AL11" s="41"/>
      <c r="AM11" s="41"/>
      <c r="AN11" s="41"/>
      <c r="AO11" s="41"/>
      <c r="AP11" s="41"/>
      <c r="AQ11" s="41"/>
      <c r="AR11" s="41"/>
      <c r="AS11" s="40"/>
      <c r="AT11" s="40"/>
      <c r="AU11" s="40"/>
      <c r="AV11" s="40"/>
      <c r="AW11" s="40"/>
      <c r="AX11" s="40"/>
      <c r="AY11" s="40"/>
      <c r="AZ11" s="40"/>
      <c r="BA11" s="40"/>
      <c r="BB11" s="40"/>
      <c r="BC11" s="65"/>
      <c r="BD11" s="59"/>
      <c r="BE11" s="59"/>
      <c r="BF11" s="59"/>
      <c r="BG11" s="59"/>
      <c r="BH11" s="59"/>
      <c r="BI11" s="59"/>
      <c r="BJ11" s="59"/>
      <c r="BK11" s="59"/>
      <c r="BL11" s="59"/>
      <c r="BM11" s="59"/>
      <c r="BN11" s="59"/>
      <c r="BO11" s="58"/>
      <c r="BP11" s="58"/>
      <c r="BQ11" s="58"/>
      <c r="BR11" s="58"/>
      <c r="BS11" s="58"/>
      <c r="BT11" s="58"/>
      <c r="BU11" s="58"/>
      <c r="BV11" s="58"/>
      <c r="BW11" s="58"/>
      <c r="BX11" s="58"/>
      <c r="BY11" s="58"/>
      <c r="BZ11" s="58"/>
      <c r="CA11" s="58"/>
      <c r="CB11" s="58"/>
      <c r="CC11" s="58"/>
      <c r="CD11" s="58"/>
      <c r="CE11" s="58"/>
      <c r="CF11" s="63"/>
      <c r="CG11" s="41"/>
      <c r="CH11" s="41"/>
      <c r="CI11" s="41"/>
      <c r="CJ11" s="41"/>
      <c r="CK11" s="40"/>
      <c r="CL11" s="40"/>
      <c r="CM11" s="40"/>
      <c r="CN11" s="40"/>
      <c r="CO11" s="40"/>
      <c r="CP11" s="40"/>
      <c r="CQ11" s="40"/>
      <c r="CR11" s="40"/>
      <c r="CS11" s="40"/>
      <c r="CT11" s="40"/>
      <c r="CU11" s="40"/>
      <c r="CV11" s="40"/>
      <c r="CW11" s="40"/>
      <c r="CX11" s="40"/>
      <c r="CY11" s="40"/>
      <c r="CZ11" s="40"/>
      <c r="DA11" s="40"/>
      <c r="DB11" s="40"/>
      <c r="DC11" s="66"/>
      <c r="DD11" s="41"/>
      <c r="DE11" s="41"/>
      <c r="DF11" s="41"/>
      <c r="DG11" s="41"/>
      <c r="DH11" s="41"/>
      <c r="DI11" s="41"/>
      <c r="DJ11" s="41"/>
      <c r="DK11" s="41"/>
      <c r="DL11" s="41"/>
      <c r="DM11" s="41"/>
      <c r="DN11" s="41"/>
      <c r="DO11" s="40"/>
      <c r="DP11" s="40"/>
      <c r="DQ11" s="40"/>
      <c r="DR11" s="40"/>
      <c r="DS11" s="61"/>
    </row>
    <row r="12" spans="2:129" ht="15" customHeight="1" x14ac:dyDescent="0.25">
      <c r="B12" s="232" t="str">
        <f>Base!H10</f>
        <v>Conception</v>
      </c>
      <c r="C12" s="23"/>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c r="AE12" s="42"/>
      <c r="AF12" s="68"/>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c r="CE12" s="42"/>
      <c r="CF12" s="68"/>
      <c r="CG12" s="42"/>
      <c r="CH12" s="42"/>
      <c r="CI12" s="42"/>
      <c r="CJ12" s="42"/>
      <c r="CK12" s="42"/>
      <c r="CL12" s="42"/>
      <c r="CM12" s="42"/>
      <c r="CN12" s="42"/>
      <c r="CO12" s="42"/>
      <c r="CP12" s="42"/>
      <c r="CQ12" s="42"/>
      <c r="CR12" s="42"/>
      <c r="CS12" s="42"/>
      <c r="CT12" s="42"/>
      <c r="CU12" s="42"/>
      <c r="CV12" s="42"/>
      <c r="CW12" s="42"/>
      <c r="CX12" s="42"/>
      <c r="CY12" s="42"/>
      <c r="CZ12" s="42"/>
      <c r="DA12" s="42"/>
      <c r="DB12" s="68"/>
      <c r="DC12" s="42"/>
      <c r="DD12" s="42"/>
      <c r="DE12" s="42"/>
      <c r="DF12" s="42"/>
      <c r="DG12" s="42"/>
      <c r="DH12" s="42"/>
      <c r="DI12" s="42"/>
      <c r="DJ12" s="42"/>
      <c r="DK12" s="42"/>
      <c r="DL12" s="42"/>
      <c r="DM12" s="42"/>
      <c r="DN12" s="42"/>
      <c r="DO12" s="42"/>
      <c r="DP12" s="42"/>
      <c r="DQ12" s="42"/>
      <c r="DR12" s="42"/>
      <c r="DS12" s="108"/>
    </row>
    <row r="13" spans="2:129" ht="15" customHeight="1" thickBot="1" x14ac:dyDescent="0.3">
      <c r="B13" s="233"/>
      <c r="C13" s="24"/>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69"/>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69"/>
      <c r="CG13" s="43"/>
      <c r="CH13" s="43"/>
      <c r="CI13" s="43"/>
      <c r="CJ13" s="43"/>
      <c r="CK13" s="43"/>
      <c r="CL13" s="43"/>
      <c r="CM13" s="43"/>
      <c r="CN13" s="43"/>
      <c r="CO13" s="43"/>
      <c r="CP13" s="43"/>
      <c r="CQ13" s="43"/>
      <c r="CR13" s="43"/>
      <c r="CS13" s="43"/>
      <c r="CT13" s="43"/>
      <c r="CU13" s="43"/>
      <c r="CV13" s="43"/>
      <c r="CW13" s="43"/>
      <c r="CX13" s="43"/>
      <c r="CY13" s="43"/>
      <c r="CZ13" s="43"/>
      <c r="DA13" s="43"/>
      <c r="DB13" s="69"/>
      <c r="DC13" s="43"/>
      <c r="DD13" s="43"/>
      <c r="DE13" s="43"/>
      <c r="DF13" s="43"/>
      <c r="DG13" s="43"/>
      <c r="DH13" s="43"/>
      <c r="DI13" s="43"/>
      <c r="DJ13" s="43"/>
      <c r="DK13" s="43"/>
      <c r="DL13" s="43"/>
      <c r="DM13" s="43"/>
      <c r="DN13" s="43"/>
      <c r="DO13" s="43"/>
      <c r="DP13" s="43"/>
      <c r="DQ13" s="43"/>
      <c r="DR13" s="43"/>
      <c r="DS13" s="109"/>
    </row>
    <row r="14" spans="2:129" x14ac:dyDescent="0.25">
      <c r="B14" s="1" t="str">
        <f>Base!I10</f>
        <v>201 choix de l'architecture</v>
      </c>
      <c r="C14" s="67"/>
      <c r="D14" s="45"/>
      <c r="E14" s="45"/>
      <c r="F14" s="45"/>
      <c r="G14" s="45"/>
      <c r="H14" s="45"/>
      <c r="I14" s="45"/>
      <c r="J14" s="156"/>
      <c r="K14" s="45"/>
      <c r="L14" s="45"/>
      <c r="M14" s="45"/>
      <c r="N14" s="45"/>
      <c r="O14" s="44"/>
      <c r="P14" s="44"/>
      <c r="Q14" s="44"/>
      <c r="R14" s="44"/>
      <c r="S14" s="44"/>
      <c r="T14" s="44"/>
      <c r="U14" s="44"/>
      <c r="V14" s="44"/>
      <c r="W14" s="44"/>
      <c r="X14" s="44"/>
      <c r="Y14" s="44"/>
      <c r="Z14" s="44"/>
      <c r="AA14" s="44"/>
      <c r="AB14" s="44"/>
      <c r="AC14" s="44"/>
      <c r="AD14" s="44"/>
      <c r="AE14" s="44"/>
      <c r="AF14" s="44"/>
      <c r="AG14" s="67"/>
      <c r="AH14" s="45"/>
      <c r="AI14" s="45"/>
      <c r="AJ14" s="45"/>
      <c r="AK14" s="45"/>
      <c r="AL14" s="45"/>
      <c r="AM14" s="45"/>
      <c r="AN14" s="45"/>
      <c r="AO14" s="45"/>
      <c r="AP14" s="45"/>
      <c r="AQ14" s="45"/>
      <c r="AR14" s="45"/>
      <c r="AS14" s="44"/>
      <c r="AT14" s="44"/>
      <c r="AU14" s="44"/>
      <c r="AV14" s="44"/>
      <c r="AW14" s="44"/>
      <c r="AX14" s="44"/>
      <c r="AY14" s="44"/>
      <c r="AZ14" s="44"/>
      <c r="BA14" s="44"/>
      <c r="BB14" s="44"/>
      <c r="BC14" s="110"/>
      <c r="BD14" s="111"/>
      <c r="BE14" s="111"/>
      <c r="BF14" s="111"/>
      <c r="BG14" s="111"/>
      <c r="BH14" s="111"/>
      <c r="BI14" s="111"/>
      <c r="BJ14" s="111"/>
      <c r="BK14" s="111"/>
      <c r="BL14" s="111"/>
      <c r="BM14" s="111"/>
      <c r="BN14" s="111"/>
      <c r="BO14" s="112"/>
      <c r="BP14" s="112"/>
      <c r="BQ14" s="112"/>
      <c r="BR14" s="112"/>
      <c r="BS14" s="112"/>
      <c r="BT14" s="112"/>
      <c r="BU14" s="112"/>
      <c r="BV14" s="112"/>
      <c r="BW14" s="112"/>
      <c r="BX14" s="112"/>
      <c r="BY14" s="112"/>
      <c r="BZ14" s="112"/>
      <c r="CA14" s="112"/>
      <c r="CB14" s="112"/>
      <c r="CC14" s="112"/>
      <c r="CD14" s="112"/>
      <c r="CE14" s="112"/>
      <c r="CF14" s="185"/>
      <c r="CG14" s="45"/>
      <c r="CH14" s="45"/>
      <c r="CI14" s="45"/>
      <c r="CJ14" s="45"/>
      <c r="CK14" s="44"/>
      <c r="CL14" s="44"/>
      <c r="CM14" s="44"/>
      <c r="CN14" s="44"/>
      <c r="CO14" s="44"/>
      <c r="CP14" s="44"/>
      <c r="CQ14" s="44"/>
      <c r="CR14" s="44"/>
      <c r="CS14" s="44"/>
      <c r="CT14" s="44"/>
      <c r="CU14" s="44"/>
      <c r="CV14" s="44"/>
      <c r="CW14" s="44"/>
      <c r="CX14" s="44"/>
      <c r="CY14" s="44"/>
      <c r="CZ14" s="44"/>
      <c r="DA14" s="44"/>
      <c r="DB14" s="44"/>
      <c r="DC14" s="67"/>
      <c r="DD14" s="45"/>
      <c r="DE14" s="45"/>
      <c r="DF14" s="45"/>
      <c r="DG14" s="45"/>
      <c r="DH14" s="45"/>
      <c r="DI14" s="45"/>
      <c r="DJ14" s="45"/>
      <c r="DK14" s="45"/>
      <c r="DL14" s="45"/>
      <c r="DM14" s="45"/>
      <c r="DN14" s="45"/>
      <c r="DO14" s="44"/>
      <c r="DP14" s="44"/>
      <c r="DQ14" s="44"/>
      <c r="DR14" s="44"/>
      <c r="DS14" s="62"/>
    </row>
    <row r="15" spans="2:129" ht="30" x14ac:dyDescent="0.25">
      <c r="B15" s="1" t="str">
        <f>Base!I11</f>
        <v>202 modélisation conceptuelle de la BDD</v>
      </c>
      <c r="C15" s="67"/>
      <c r="D15" s="45"/>
      <c r="E15" s="45"/>
      <c r="F15" s="45"/>
      <c r="G15" s="45"/>
      <c r="H15" s="45"/>
      <c r="I15" s="45"/>
      <c r="J15" s="45"/>
      <c r="K15" s="45"/>
      <c r="L15" s="45"/>
      <c r="M15" s="45"/>
      <c r="N15" s="45"/>
      <c r="O15" s="44"/>
      <c r="P15" s="44"/>
      <c r="Q15" s="172"/>
      <c r="R15" s="172"/>
      <c r="S15" s="172"/>
      <c r="T15" s="172"/>
      <c r="U15" s="172"/>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67"/>
      <c r="BD15" s="45"/>
      <c r="BE15" s="45"/>
      <c r="BF15" s="45"/>
      <c r="BG15" s="45"/>
      <c r="BH15" s="45"/>
      <c r="BI15" s="45"/>
      <c r="BJ15" s="45"/>
      <c r="BK15" s="45"/>
      <c r="BL15" s="45"/>
      <c r="BM15" s="45"/>
      <c r="BN15" s="45"/>
      <c r="BO15" s="44"/>
      <c r="BP15" s="44"/>
      <c r="BQ15" s="44"/>
      <c r="BR15" s="44"/>
      <c r="BS15" s="44"/>
      <c r="BT15" s="44"/>
      <c r="BU15" s="44"/>
      <c r="BV15" s="44"/>
      <c r="BW15" s="44"/>
      <c r="BX15" s="44"/>
      <c r="BY15" s="44"/>
      <c r="BZ15" s="44"/>
      <c r="CA15" s="44"/>
      <c r="CB15" s="44"/>
      <c r="CC15" s="44"/>
      <c r="CD15" s="44"/>
      <c r="CE15" s="44"/>
      <c r="CF15" s="62"/>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15" customHeight="1" x14ac:dyDescent="0.25">
      <c r="B16" s="1" t="str">
        <f>Base!I12</f>
        <v>203 modélisation logique de la BDD</v>
      </c>
      <c r="C16" s="67"/>
      <c r="D16" s="45"/>
      <c r="E16" s="45"/>
      <c r="F16" s="45"/>
      <c r="G16" s="45"/>
      <c r="H16" s="45"/>
      <c r="I16" s="45"/>
      <c r="J16" s="45"/>
      <c r="K16" s="45"/>
      <c r="L16" s="45"/>
      <c r="M16" s="45"/>
      <c r="N16" s="45"/>
      <c r="O16" s="44"/>
      <c r="P16" s="44"/>
      <c r="Q16" s="44"/>
      <c r="R16" s="44"/>
      <c r="S16" s="44"/>
      <c r="T16" s="44"/>
      <c r="U16" s="172"/>
      <c r="V16" s="172"/>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x14ac:dyDescent="0.25">
      <c r="B17" s="1" t="str">
        <f>Base!I13</f>
        <v>204 maquettes de l'application</v>
      </c>
      <c r="C17" s="67"/>
      <c r="D17" s="45"/>
      <c r="E17" s="45"/>
      <c r="F17" s="45"/>
      <c r="G17" s="45"/>
      <c r="H17" s="45"/>
      <c r="I17" s="45"/>
      <c r="J17" s="45"/>
      <c r="K17" s="45"/>
      <c r="L17" s="45"/>
      <c r="M17" s="156"/>
      <c r="N17" s="156"/>
      <c r="O17" s="172"/>
      <c r="P17" s="44"/>
      <c r="Q17" s="44"/>
      <c r="R17" s="44"/>
      <c r="S17" s="44"/>
      <c r="T17" s="44"/>
      <c r="U17" s="44"/>
      <c r="V17" s="44"/>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ht="15" customHeight="1" x14ac:dyDescent="0.25">
      <c r="B18" s="1" t="str">
        <f>Base!I14</f>
        <v>205 diagrammes de flux</v>
      </c>
      <c r="C18" s="67"/>
      <c r="D18" s="45"/>
      <c r="E18" s="45"/>
      <c r="F18" s="45"/>
      <c r="G18" s="45"/>
      <c r="H18" s="45"/>
      <c r="I18" s="45"/>
      <c r="J18" s="45"/>
      <c r="K18" s="45"/>
      <c r="L18" s="45"/>
      <c r="M18" s="45"/>
      <c r="N18" s="45"/>
      <c r="O18" s="44"/>
      <c r="P18" s="44"/>
      <c r="Q18" s="44"/>
      <c r="R18" s="44"/>
      <c r="S18" s="44"/>
      <c r="T18" s="44"/>
      <c r="U18" s="44"/>
      <c r="V18" s="44"/>
      <c r="W18" s="44"/>
      <c r="X18" s="44"/>
      <c r="Y18" s="172"/>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Base!I15</f>
        <v>206 cas d'utilisation de l'application</v>
      </c>
      <c r="C19" s="67"/>
      <c r="D19" s="45"/>
      <c r="E19" s="45"/>
      <c r="F19" s="45"/>
      <c r="G19" s="45"/>
      <c r="H19" s="45"/>
      <c r="I19" s="45"/>
      <c r="J19" s="45"/>
      <c r="K19" s="45"/>
      <c r="L19" s="45"/>
      <c r="M19" s="45"/>
      <c r="N19" s="45"/>
      <c r="O19" s="44"/>
      <c r="P19" s="44"/>
      <c r="Q19" s="44"/>
      <c r="R19" s="44"/>
      <c r="S19" s="44"/>
      <c r="T19" s="44"/>
      <c r="U19" s="44"/>
      <c r="V19" s="44"/>
      <c r="W19" s="44"/>
      <c r="X19" s="44"/>
      <c r="Y19" s="44"/>
      <c r="Z19" s="44"/>
      <c r="AA19" s="172"/>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Base!I16</f>
        <v>207 scénarios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44"/>
      <c r="AB20" s="172"/>
      <c r="AC20" s="172"/>
      <c r="AD20" s="172"/>
      <c r="AE20" s="172"/>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Base!I17</f>
        <v>208 diagrammes de classe</v>
      </c>
      <c r="C21" s="67"/>
      <c r="D21" s="45"/>
      <c r="E21" s="45"/>
      <c r="F21" s="45"/>
      <c r="G21" s="45"/>
      <c r="H21" s="45"/>
      <c r="I21" s="45"/>
      <c r="J21" s="45"/>
      <c r="K21" s="45"/>
      <c r="L21" s="45"/>
      <c r="M21" s="45"/>
      <c r="N21" s="45"/>
      <c r="O21" s="44"/>
      <c r="P21" s="44"/>
      <c r="Q21" s="44"/>
      <c r="R21" s="44"/>
      <c r="S21" s="44"/>
      <c r="T21" s="44"/>
      <c r="U21" s="44"/>
      <c r="V21" s="44"/>
      <c r="W21" s="146"/>
      <c r="X21" s="172"/>
      <c r="Y21" s="44"/>
      <c r="Z21" s="44"/>
      <c r="AA21" s="44"/>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30" x14ac:dyDescent="0.25">
      <c r="B22" s="1" t="str">
        <f>Base!I18</f>
        <v>209 schéma de navigation de l'application</v>
      </c>
      <c r="C22" s="67"/>
      <c r="D22" s="45"/>
      <c r="E22" s="45"/>
      <c r="F22" s="45"/>
      <c r="G22" s="45"/>
      <c r="H22" s="45"/>
      <c r="I22" s="45"/>
      <c r="J22" s="45"/>
      <c r="K22" s="45"/>
      <c r="L22" s="45"/>
      <c r="M22" s="45"/>
      <c r="N22" s="45"/>
      <c r="O22" s="44"/>
      <c r="P22" s="44"/>
      <c r="Q22" s="44"/>
      <c r="R22" s="44"/>
      <c r="S22" s="44"/>
      <c r="T22" s="44"/>
      <c r="U22" s="44"/>
      <c r="V22" s="44"/>
      <c r="W22" s="44"/>
      <c r="X22" s="44"/>
      <c r="Y22" s="44"/>
      <c r="Z22" s="172"/>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15" customHeight="1" x14ac:dyDescent="0.25">
      <c r="B23" s="1" t="str">
        <f>Base!I19</f>
        <v>210 fonctionnalités du projet</v>
      </c>
      <c r="C23" s="67"/>
      <c r="D23" s="45"/>
      <c r="E23" s="45"/>
      <c r="F23" s="45"/>
      <c r="G23" s="45"/>
      <c r="H23" s="45"/>
      <c r="I23" s="45"/>
      <c r="J23" s="156"/>
      <c r="K23" s="156"/>
      <c r="L23" s="45"/>
      <c r="M23" s="45"/>
      <c r="N23" s="45"/>
      <c r="O23" s="44"/>
      <c r="P23" s="44"/>
      <c r="Q23" s="44"/>
      <c r="R23" s="44"/>
      <c r="S23" s="44"/>
      <c r="T23" s="44"/>
      <c r="U23" s="44"/>
      <c r="V23" s="44"/>
      <c r="W23" s="44"/>
      <c r="X23" s="44"/>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Base!I20</f>
        <v>211 déclaration du cadre du projet</v>
      </c>
      <c r="C24" s="67"/>
      <c r="D24" s="45"/>
      <c r="E24" s="45"/>
      <c r="F24" s="45"/>
      <c r="G24" s="45"/>
      <c r="H24" s="45"/>
      <c r="I24" s="45"/>
      <c r="J24" s="45"/>
      <c r="K24" s="45"/>
      <c r="L24" s="156"/>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x14ac:dyDescent="0.25">
      <c r="B25" s="1" t="str">
        <f>Base!I21</f>
        <v>212 risques techniques</v>
      </c>
      <c r="C25" s="64"/>
      <c r="D25" s="39"/>
      <c r="E25" s="39"/>
      <c r="F25" s="39"/>
      <c r="G25" s="39"/>
      <c r="H25" s="39"/>
      <c r="I25" s="39"/>
      <c r="J25" s="39"/>
      <c r="K25" s="39"/>
      <c r="L25" s="39"/>
      <c r="M25" s="39"/>
      <c r="N25" s="39"/>
      <c r="O25" s="38"/>
      <c r="P25" s="38"/>
      <c r="Q25" s="171"/>
      <c r="R25" s="38"/>
      <c r="S25" s="38"/>
      <c r="T25" s="38"/>
      <c r="U25" s="38"/>
      <c r="V25" s="38"/>
      <c r="W25" s="38"/>
      <c r="X25" s="38"/>
      <c r="Y25" s="38"/>
      <c r="Z25" s="38"/>
      <c r="AA25" s="38"/>
      <c r="AB25" s="38"/>
      <c r="AC25" s="38"/>
      <c r="AD25" s="38"/>
      <c r="AE25" s="38"/>
      <c r="AF25" s="38"/>
      <c r="AG25" s="64"/>
      <c r="AH25" s="39"/>
      <c r="AI25" s="39"/>
      <c r="AJ25" s="39"/>
      <c r="AK25" s="39"/>
      <c r="AL25" s="39"/>
      <c r="AM25" s="39"/>
      <c r="AN25" s="39"/>
      <c r="AO25" s="39"/>
      <c r="AP25" s="39"/>
      <c r="AQ25" s="39"/>
      <c r="AR25" s="39"/>
      <c r="AS25" s="38"/>
      <c r="AT25" s="38"/>
      <c r="AU25" s="38"/>
      <c r="AV25" s="38"/>
      <c r="AW25" s="38"/>
      <c r="AX25" s="38"/>
      <c r="AY25" s="38"/>
      <c r="AZ25" s="38"/>
      <c r="BA25" s="38"/>
      <c r="BB25" s="38"/>
      <c r="BC25" s="64"/>
      <c r="BD25" s="39"/>
      <c r="BE25" s="39"/>
      <c r="BF25" s="39"/>
      <c r="BG25" s="39"/>
      <c r="BH25" s="39"/>
      <c r="BI25" s="39"/>
      <c r="BJ25" s="39"/>
      <c r="BK25" s="39"/>
      <c r="BL25" s="39"/>
      <c r="BM25" s="39"/>
      <c r="BN25" s="39"/>
      <c r="BO25" s="38"/>
      <c r="BP25" s="38"/>
      <c r="BQ25" s="38"/>
      <c r="BR25" s="38"/>
      <c r="BS25" s="38"/>
      <c r="BT25" s="38"/>
      <c r="BU25" s="38"/>
      <c r="BV25" s="38"/>
      <c r="BW25" s="38"/>
      <c r="BX25" s="38"/>
      <c r="BY25" s="38"/>
      <c r="BZ25" s="38"/>
      <c r="CA25" s="38"/>
      <c r="CB25" s="38"/>
      <c r="CC25" s="38"/>
      <c r="CD25" s="38"/>
      <c r="CE25" s="38"/>
      <c r="CF25" s="60"/>
      <c r="CG25" s="39"/>
      <c r="CH25" s="39"/>
      <c r="CI25" s="39"/>
      <c r="CJ25" s="39"/>
      <c r="CK25" s="38"/>
      <c r="CL25" s="38"/>
      <c r="CM25" s="38"/>
      <c r="CN25" s="38"/>
      <c r="CO25" s="38"/>
      <c r="CP25" s="38"/>
      <c r="CQ25" s="38"/>
      <c r="CR25" s="38"/>
      <c r="CS25" s="38"/>
      <c r="CT25" s="38"/>
      <c r="CU25" s="38"/>
      <c r="CV25" s="38"/>
      <c r="CW25" s="38"/>
      <c r="CX25" s="38"/>
      <c r="CY25" s="38"/>
      <c r="CZ25" s="38"/>
      <c r="DA25" s="38"/>
      <c r="DB25" s="38"/>
      <c r="DC25" s="64"/>
      <c r="DD25" s="39"/>
      <c r="DE25" s="39"/>
      <c r="DF25" s="39"/>
      <c r="DG25" s="39"/>
      <c r="DH25" s="39"/>
      <c r="DI25" s="39"/>
      <c r="DJ25" s="39"/>
      <c r="DK25" s="39"/>
      <c r="DL25" s="39"/>
      <c r="DM25" s="39"/>
      <c r="DN25" s="39"/>
      <c r="DO25" s="38"/>
      <c r="DP25" s="38"/>
      <c r="DQ25" s="38"/>
      <c r="DR25" s="38"/>
      <c r="DS25" s="60"/>
    </row>
    <row r="26" spans="2:123" x14ac:dyDescent="0.25">
      <c r="B26" s="1" t="str">
        <f>Base!I22</f>
        <v>213 planification définitive</v>
      </c>
      <c r="C26" s="64"/>
      <c r="D26" s="39"/>
      <c r="E26" s="39"/>
      <c r="F26" s="39"/>
      <c r="G26" s="39"/>
      <c r="H26" s="39"/>
      <c r="I26" s="39"/>
      <c r="J26" s="39"/>
      <c r="K26" s="39"/>
      <c r="L26" s="39"/>
      <c r="M26" s="39"/>
      <c r="N26" s="39"/>
      <c r="O26" s="38"/>
      <c r="P26" s="38"/>
      <c r="Q26" s="38"/>
      <c r="R26" s="38"/>
      <c r="S26" s="38"/>
      <c r="T26" s="38"/>
      <c r="U26" s="38"/>
      <c r="V26" s="38"/>
      <c r="W26" s="38"/>
      <c r="X26" s="38"/>
      <c r="Y26" s="38"/>
      <c r="Z26" s="38"/>
      <c r="AA26" s="38"/>
      <c r="AB26" s="38"/>
      <c r="AC26" s="38"/>
      <c r="AD26" s="38"/>
      <c r="AE26" s="38"/>
      <c r="AF26" s="171"/>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ht="30" x14ac:dyDescent="0.25">
      <c r="B27" s="1" t="str">
        <f>Base!I23</f>
        <v>214 recherche sur l'impression depuis l'application</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38"/>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x14ac:dyDescent="0.25">
      <c r="B28" s="1" t="str">
        <f>Base!I24</f>
        <v>215 matériel hardware et software</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ht="15.75" thickBot="1" x14ac:dyDescent="0.3">
      <c r="B29" s="1" t="str">
        <f>Base!I25</f>
        <v>216 -</v>
      </c>
      <c r="C29" s="66"/>
      <c r="D29" s="41"/>
      <c r="E29" s="41"/>
      <c r="F29" s="41"/>
      <c r="G29" s="41"/>
      <c r="H29" s="41"/>
      <c r="I29" s="41"/>
      <c r="J29" s="41"/>
      <c r="K29" s="41"/>
      <c r="L29" s="41"/>
      <c r="M29" s="41"/>
      <c r="N29" s="41"/>
      <c r="O29" s="40"/>
      <c r="P29" s="40"/>
      <c r="Q29" s="40"/>
      <c r="R29" s="40"/>
      <c r="S29" s="40"/>
      <c r="T29" s="40"/>
      <c r="U29" s="40"/>
      <c r="V29" s="40"/>
      <c r="W29" s="40"/>
      <c r="X29" s="40"/>
      <c r="Y29" s="40"/>
      <c r="Z29" s="40"/>
      <c r="AA29" s="40"/>
      <c r="AB29" s="40"/>
      <c r="AC29" s="40"/>
      <c r="AD29" s="40"/>
      <c r="AE29" s="40"/>
      <c r="AF29" s="40"/>
      <c r="AG29" s="66"/>
      <c r="AH29" s="41"/>
      <c r="AI29" s="41"/>
      <c r="AJ29" s="41"/>
      <c r="AK29" s="41"/>
      <c r="AL29" s="41"/>
      <c r="AM29" s="41"/>
      <c r="AN29" s="41"/>
      <c r="AO29" s="41"/>
      <c r="AP29" s="41"/>
      <c r="AQ29" s="41"/>
      <c r="AR29" s="41"/>
      <c r="AS29" s="40"/>
      <c r="AT29" s="40"/>
      <c r="AU29" s="40"/>
      <c r="AV29" s="40"/>
      <c r="AW29" s="40"/>
      <c r="AX29" s="40"/>
      <c r="AY29" s="40"/>
      <c r="AZ29" s="40"/>
      <c r="BA29" s="40"/>
      <c r="BB29" s="40"/>
      <c r="BC29" s="65"/>
      <c r="BD29" s="59"/>
      <c r="BE29" s="59"/>
      <c r="BF29" s="59"/>
      <c r="BG29" s="59"/>
      <c r="BH29" s="59"/>
      <c r="BI29" s="59"/>
      <c r="BJ29" s="59"/>
      <c r="BK29" s="59"/>
      <c r="BL29" s="59"/>
      <c r="BM29" s="59"/>
      <c r="BN29" s="59"/>
      <c r="BO29" s="58"/>
      <c r="BP29" s="58"/>
      <c r="BQ29" s="58"/>
      <c r="BR29" s="58"/>
      <c r="BS29" s="58"/>
      <c r="BT29" s="58"/>
      <c r="BU29" s="58"/>
      <c r="BV29" s="58"/>
      <c r="BW29" s="58"/>
      <c r="BX29" s="58"/>
      <c r="BY29" s="58"/>
      <c r="BZ29" s="58"/>
      <c r="CA29" s="58"/>
      <c r="CB29" s="58"/>
      <c r="CC29" s="58"/>
      <c r="CD29" s="58"/>
      <c r="CE29" s="58"/>
      <c r="CF29" s="63"/>
      <c r="CG29" s="41"/>
      <c r="CH29" s="41"/>
      <c r="CI29" s="41"/>
      <c r="CJ29" s="41"/>
      <c r="CK29" s="40"/>
      <c r="CL29" s="40"/>
      <c r="CM29" s="40"/>
      <c r="CN29" s="40"/>
      <c r="CO29" s="40"/>
      <c r="CP29" s="40"/>
      <c r="CQ29" s="40"/>
      <c r="CR29" s="40"/>
      <c r="CS29" s="40"/>
      <c r="CT29" s="40"/>
      <c r="CU29" s="40"/>
      <c r="CV29" s="40"/>
      <c r="CW29" s="40"/>
      <c r="CX29" s="40"/>
      <c r="CY29" s="40"/>
      <c r="CZ29" s="40"/>
      <c r="DA29" s="40"/>
      <c r="DB29" s="40"/>
      <c r="DC29" s="66"/>
      <c r="DD29" s="41"/>
      <c r="DE29" s="41"/>
      <c r="DF29" s="41"/>
      <c r="DG29" s="41"/>
      <c r="DH29" s="41"/>
      <c r="DI29" s="41"/>
      <c r="DJ29" s="41"/>
      <c r="DK29" s="41"/>
      <c r="DL29" s="41"/>
      <c r="DM29" s="41"/>
      <c r="DN29" s="41"/>
      <c r="DO29" s="40"/>
      <c r="DP29" s="40"/>
      <c r="DQ29" s="40"/>
      <c r="DR29" s="40"/>
      <c r="DS29" s="61"/>
    </row>
    <row r="30" spans="2:123" ht="15" customHeight="1" x14ac:dyDescent="0.25">
      <c r="B30" s="236" t="str">
        <f>Base!H26</f>
        <v>Implémentation</v>
      </c>
      <c r="C30" s="27"/>
      <c r="D30" s="46"/>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7"/>
    </row>
    <row r="31" spans="2:123" ht="15.75" customHeight="1" thickBot="1" x14ac:dyDescent="0.3">
      <c r="B31" s="237"/>
      <c r="C31" s="2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c r="BI31" s="48"/>
      <c r="BJ31" s="48"/>
      <c r="BK31" s="48"/>
      <c r="BL31" s="48"/>
      <c r="BM31" s="48"/>
      <c r="BN31" s="48"/>
      <c r="BO31" s="48"/>
      <c r="BP31" s="48"/>
      <c r="BQ31" s="48"/>
      <c r="BR31" s="48"/>
      <c r="BS31" s="48"/>
      <c r="BT31" s="48"/>
      <c r="BU31" s="48"/>
      <c r="BV31" s="48"/>
      <c r="BW31" s="48"/>
      <c r="BX31" s="48"/>
      <c r="BY31" s="48"/>
      <c r="BZ31" s="48"/>
      <c r="CA31" s="48"/>
      <c r="CB31" s="48"/>
      <c r="CC31" s="48"/>
      <c r="CD31" s="48"/>
      <c r="CE31" s="48"/>
      <c r="CF31" s="48"/>
      <c r="CG31" s="48"/>
      <c r="CH31" s="48"/>
      <c r="CI31" s="48"/>
      <c r="CJ31" s="48"/>
      <c r="CK31" s="48"/>
      <c r="CL31" s="48"/>
      <c r="CM31" s="48"/>
      <c r="CN31" s="48"/>
      <c r="CO31" s="48"/>
      <c r="CP31" s="48"/>
      <c r="CQ31" s="48"/>
      <c r="CR31" s="48"/>
      <c r="CS31" s="48"/>
      <c r="CT31" s="48"/>
      <c r="CU31" s="48"/>
      <c r="CV31" s="48"/>
      <c r="CW31" s="48"/>
      <c r="CX31" s="48"/>
      <c r="CY31" s="48"/>
      <c r="CZ31" s="48"/>
      <c r="DA31" s="48"/>
      <c r="DB31" s="48"/>
      <c r="DC31" s="48"/>
      <c r="DD31" s="48"/>
      <c r="DE31" s="48"/>
      <c r="DF31" s="48"/>
      <c r="DG31" s="48"/>
      <c r="DH31" s="48"/>
      <c r="DI31" s="48"/>
      <c r="DJ31" s="48"/>
      <c r="DK31" s="48"/>
      <c r="DL31" s="48"/>
      <c r="DM31" s="48"/>
      <c r="DN31" s="48"/>
      <c r="DO31" s="48"/>
      <c r="DP31" s="48"/>
      <c r="DQ31" s="48"/>
      <c r="DR31" s="48"/>
      <c r="DS31" s="49"/>
    </row>
    <row r="32" spans="2:123" ht="15" customHeight="1" x14ac:dyDescent="0.25">
      <c r="B32" s="1" t="str">
        <f>Base!I26</f>
        <v>300 mise en place de la BDD</v>
      </c>
      <c r="C32" s="67"/>
      <c r="D32" s="45"/>
      <c r="E32" s="45"/>
      <c r="F32" s="45"/>
      <c r="G32" s="45"/>
      <c r="H32" s="45"/>
      <c r="I32" s="45"/>
      <c r="J32" s="45"/>
      <c r="K32" s="45"/>
      <c r="L32" s="45"/>
      <c r="M32" s="45"/>
      <c r="N32" s="45"/>
      <c r="O32" s="44"/>
      <c r="P32" s="44"/>
      <c r="Q32" s="44"/>
      <c r="R32" s="44"/>
      <c r="S32" s="44"/>
      <c r="T32" s="44"/>
      <c r="U32" s="44"/>
      <c r="V32" s="44"/>
      <c r="W32" s="44"/>
      <c r="X32" s="44"/>
      <c r="Y32" s="44"/>
      <c r="Z32" s="44"/>
      <c r="AA32" s="44"/>
      <c r="AB32" s="44"/>
      <c r="AC32" s="44"/>
      <c r="AD32" s="44"/>
      <c r="AE32" s="44"/>
      <c r="AF32" s="44"/>
      <c r="AG32" s="176"/>
      <c r="AH32" s="177"/>
      <c r="AI32" s="177"/>
      <c r="AJ32" s="111"/>
      <c r="AK32" s="111"/>
      <c r="AL32" s="111"/>
      <c r="AM32" s="111"/>
      <c r="AN32" s="111"/>
      <c r="AO32" s="111"/>
      <c r="AP32" s="111"/>
      <c r="AQ32" s="111"/>
      <c r="AR32" s="111"/>
      <c r="AS32" s="112"/>
      <c r="AT32" s="112"/>
      <c r="AU32" s="112"/>
      <c r="AV32" s="112"/>
      <c r="AW32" s="112"/>
      <c r="AX32" s="112"/>
      <c r="AY32" s="112"/>
      <c r="AZ32" s="112"/>
      <c r="BA32" s="112"/>
      <c r="BB32" s="186"/>
      <c r="BC32" s="110"/>
      <c r="BD32" s="111"/>
      <c r="BE32" s="111"/>
      <c r="BF32" s="111"/>
      <c r="BG32" s="111"/>
      <c r="BH32" s="111"/>
      <c r="BI32" s="111"/>
      <c r="BJ32" s="111"/>
      <c r="BK32" s="111"/>
      <c r="BL32" s="111"/>
      <c r="BM32" s="111"/>
      <c r="BN32" s="111"/>
      <c r="BO32" s="112"/>
      <c r="BP32" s="112"/>
      <c r="BQ32" s="112"/>
      <c r="BR32" s="112"/>
      <c r="BS32" s="112"/>
      <c r="BT32" s="112"/>
      <c r="BU32" s="112"/>
      <c r="BV32" s="112"/>
      <c r="BW32" s="112"/>
      <c r="BX32" s="112"/>
      <c r="BY32" s="112"/>
      <c r="BZ32" s="112"/>
      <c r="CA32" s="112"/>
      <c r="CB32" s="112"/>
      <c r="CC32" s="112"/>
      <c r="CD32" s="112"/>
      <c r="CE32" s="112"/>
      <c r="CF32" s="185"/>
      <c r="CG32" s="45"/>
      <c r="CH32" s="45"/>
      <c r="CI32" s="45"/>
      <c r="CJ32" s="45"/>
      <c r="CK32" s="44"/>
      <c r="CL32" s="44"/>
      <c r="CM32" s="44"/>
      <c r="CN32" s="44"/>
      <c r="CO32" s="44"/>
      <c r="CP32" s="44"/>
      <c r="CQ32" s="44"/>
      <c r="CR32" s="44"/>
      <c r="CS32" s="44"/>
      <c r="CT32" s="44"/>
      <c r="CU32" s="44"/>
      <c r="CV32" s="44"/>
      <c r="CW32" s="44"/>
      <c r="CX32" s="44"/>
      <c r="CY32" s="44"/>
      <c r="CZ32" s="44"/>
      <c r="DA32" s="44"/>
      <c r="DB32" s="44"/>
      <c r="DC32" s="67"/>
      <c r="DD32" s="45"/>
      <c r="DE32" s="45"/>
      <c r="DF32" s="45"/>
      <c r="DG32" s="45"/>
      <c r="DH32" s="45"/>
      <c r="DI32" s="45"/>
      <c r="DJ32" s="45"/>
      <c r="DK32" s="45"/>
      <c r="DL32" s="45"/>
      <c r="DM32" s="45"/>
      <c r="DN32" s="45"/>
      <c r="DO32" s="44"/>
      <c r="DP32" s="44"/>
      <c r="DQ32" s="44"/>
      <c r="DR32" s="44"/>
      <c r="DS32" s="62"/>
    </row>
    <row r="33" spans="2:123" ht="30" x14ac:dyDescent="0.25">
      <c r="B33" s="1" t="str">
        <f>Base!I27</f>
        <v>301 réaliser la partie graphique de l'application</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67"/>
      <c r="AH33" s="45"/>
      <c r="AI33" s="45"/>
      <c r="AJ33" s="174"/>
      <c r="AK33" s="174"/>
      <c r="AL33" s="174"/>
      <c r="AM33" s="174"/>
      <c r="AN33" s="45"/>
      <c r="AO33" s="45"/>
      <c r="AP33" s="45"/>
      <c r="AQ33" s="45"/>
      <c r="AR33" s="45"/>
      <c r="AS33" s="44"/>
      <c r="AT33" s="44"/>
      <c r="AU33" s="44"/>
      <c r="AV33" s="44"/>
      <c r="AW33" s="44"/>
      <c r="AX33" s="44"/>
      <c r="AY33" s="44"/>
      <c r="AZ33" s="44"/>
      <c r="BA33" s="44"/>
      <c r="BB33" s="187"/>
      <c r="BC33" s="67"/>
      <c r="BD33" s="45"/>
      <c r="BE33" s="45"/>
      <c r="BF33" s="45"/>
      <c r="BG33" s="45"/>
      <c r="BH33" s="45"/>
      <c r="BI33" s="45"/>
      <c r="BJ33" s="45"/>
      <c r="BK33" s="45"/>
      <c r="BL33" s="45"/>
      <c r="BM33" s="45"/>
      <c r="BN33" s="45"/>
      <c r="BO33" s="44"/>
      <c r="BP33" s="44"/>
      <c r="BQ33" s="44"/>
      <c r="BR33" s="44"/>
      <c r="BS33" s="44"/>
      <c r="BT33" s="44"/>
      <c r="BU33" s="44"/>
      <c r="BV33" s="44"/>
      <c r="BW33" s="44"/>
      <c r="BX33" s="44"/>
      <c r="BY33" s="44"/>
      <c r="BZ33" s="44"/>
      <c r="CA33" s="44"/>
      <c r="CB33" s="44"/>
      <c r="CC33" s="44"/>
      <c r="CD33" s="44"/>
      <c r="CE33" s="44"/>
      <c r="CF33" s="62"/>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15" customHeight="1" x14ac:dyDescent="0.25">
      <c r="B34" s="1" t="str">
        <f>Base!I28</f>
        <v>302 mettre en place la connexion à la BDD</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45"/>
      <c r="AK34" s="45"/>
      <c r="AL34" s="45"/>
      <c r="AM34" s="45"/>
      <c r="AN34" s="174"/>
      <c r="AO34" s="174"/>
      <c r="AP34" s="174"/>
      <c r="AQ34" s="45"/>
      <c r="AR34" s="45"/>
      <c r="AS34" s="45"/>
      <c r="AT34" s="45"/>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30" x14ac:dyDescent="0.25">
      <c r="B35" s="1" t="str">
        <f>Base!I29</f>
        <v>303 mettre en place la classe "bouteille"</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45"/>
      <c r="AO35" s="45"/>
      <c r="AP35" s="45"/>
      <c r="AQ35" s="174"/>
      <c r="AR35" s="174"/>
      <c r="AS35" s="174"/>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Base!I30</f>
        <v>304 mettre en place la classe "casier"</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45"/>
      <c r="AR36" s="45"/>
      <c r="AS36" s="45"/>
      <c r="AT36" s="174"/>
      <c r="AU36" s="175"/>
      <c r="AV36" s="175"/>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Base!I31</f>
        <v>305 implémenter l'ajout de bouteilles</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45"/>
      <c r="AU37" s="44"/>
      <c r="AV37" s="44"/>
      <c r="AW37" s="44"/>
      <c r="AX37" s="44"/>
      <c r="AY37" s="44"/>
      <c r="AZ37" s="44"/>
      <c r="BA37" s="44"/>
      <c r="BB37" s="187"/>
      <c r="BC37" s="173"/>
      <c r="BD37" s="174"/>
      <c r="BE37" s="174"/>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Base!I32</f>
        <v>306 implémenter le retrait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4"/>
      <c r="AT38" s="44"/>
      <c r="AU38" s="44"/>
      <c r="AV38" s="44"/>
      <c r="AW38" s="44"/>
      <c r="AX38" s="44"/>
      <c r="AY38" s="44"/>
      <c r="AZ38" s="44"/>
      <c r="BA38" s="44"/>
      <c r="BB38" s="187"/>
      <c r="BC38" s="67"/>
      <c r="BD38" s="45"/>
      <c r="BE38" s="44"/>
      <c r="BF38" s="174"/>
      <c r="BG38" s="45"/>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Base!I33</f>
        <v>307 implémenter l'historisation des actions effectuées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45"/>
      <c r="BG39" s="45"/>
      <c r="BH39" s="44"/>
      <c r="BI39" s="44"/>
      <c r="BJ39" s="44"/>
      <c r="BK39" s="44"/>
      <c r="BL39" s="44"/>
      <c r="BM39" s="44"/>
      <c r="BN39" s="44"/>
      <c r="BO39" s="44"/>
      <c r="BP39" s="44"/>
      <c r="BQ39" s="44"/>
      <c r="BR39" s="45"/>
      <c r="BS39" s="45"/>
      <c r="BT39" s="45"/>
      <c r="BU39" s="174"/>
      <c r="BV39" s="174"/>
      <c r="BW39" s="174"/>
      <c r="BX39" s="174"/>
      <c r="BY39" s="45"/>
      <c r="BZ39" s="45"/>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Base!I34</f>
        <v>308 implémenter la recherche par mot-clé</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175"/>
      <c r="BK40" s="175"/>
      <c r="BL40" s="175"/>
      <c r="BM40" s="44"/>
      <c r="BN40" s="44"/>
      <c r="BO40" s="44"/>
      <c r="BP40" s="44"/>
      <c r="BQ40" s="44"/>
      <c r="BR40" s="45"/>
      <c r="BS40" s="45"/>
      <c r="BT40" s="45"/>
      <c r="BU40" s="45"/>
      <c r="BV40" s="45"/>
      <c r="BW40" s="45"/>
      <c r="BX40" s="45"/>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Base!I35</f>
        <v>309 implémenter la recherche par couleur de robe</v>
      </c>
      <c r="C41" s="64"/>
      <c r="D41" s="39"/>
      <c r="E41" s="39"/>
      <c r="F41" s="39"/>
      <c r="G41" s="39"/>
      <c r="H41" s="39"/>
      <c r="I41" s="39"/>
      <c r="J41" s="39"/>
      <c r="K41" s="39"/>
      <c r="L41" s="39"/>
      <c r="M41" s="39"/>
      <c r="N41" s="39"/>
      <c r="O41" s="38"/>
      <c r="P41" s="38"/>
      <c r="Q41" s="38"/>
      <c r="R41" s="38"/>
      <c r="S41" s="38"/>
      <c r="T41" s="38"/>
      <c r="U41" s="38"/>
      <c r="V41" s="38"/>
      <c r="W41" s="38"/>
      <c r="X41" s="38"/>
      <c r="Y41" s="38"/>
      <c r="Z41" s="38"/>
      <c r="AA41" s="38"/>
      <c r="AB41" s="38"/>
      <c r="AC41" s="38"/>
      <c r="AD41" s="38"/>
      <c r="AE41" s="38"/>
      <c r="AF41" s="38"/>
      <c r="AG41" s="64"/>
      <c r="AH41" s="39"/>
      <c r="AI41" s="39"/>
      <c r="AJ41" s="39"/>
      <c r="AK41" s="39"/>
      <c r="AL41" s="39"/>
      <c r="AM41" s="39"/>
      <c r="AN41" s="39"/>
      <c r="AO41" s="39"/>
      <c r="AP41" s="39"/>
      <c r="AQ41" s="39"/>
      <c r="AR41" s="39"/>
      <c r="AS41" s="38"/>
      <c r="AT41" s="38"/>
      <c r="AU41" s="38"/>
      <c r="AV41" s="38"/>
      <c r="AW41" s="38"/>
      <c r="AX41" s="38"/>
      <c r="AY41" s="38"/>
      <c r="AZ41" s="38"/>
      <c r="BA41" s="38"/>
      <c r="BB41" s="188"/>
      <c r="BC41" s="64"/>
      <c r="BD41" s="39"/>
      <c r="BE41" s="38"/>
      <c r="BF41" s="39"/>
      <c r="BG41" s="39"/>
      <c r="BH41" s="38"/>
      <c r="BI41" s="38"/>
      <c r="BJ41" s="38"/>
      <c r="BK41" s="38"/>
      <c r="BL41" s="38"/>
      <c r="BM41" s="159"/>
      <c r="BN41" s="38"/>
      <c r="BO41" s="38"/>
      <c r="BP41" s="38"/>
      <c r="BQ41" s="38"/>
      <c r="BR41" s="39"/>
      <c r="BS41" s="39"/>
      <c r="BT41" s="39"/>
      <c r="BU41" s="39"/>
      <c r="BV41" s="39"/>
      <c r="BW41" s="39"/>
      <c r="BX41" s="39"/>
      <c r="BY41" s="39"/>
      <c r="BZ41" s="39"/>
      <c r="CA41" s="38"/>
      <c r="CB41" s="38"/>
      <c r="CC41" s="38"/>
      <c r="CD41" s="38"/>
      <c r="CE41" s="38"/>
      <c r="CF41" s="60"/>
      <c r="CG41" s="39"/>
      <c r="CH41" s="39"/>
      <c r="CI41" s="39"/>
      <c r="CJ41" s="39"/>
      <c r="CK41" s="38"/>
      <c r="CL41" s="38"/>
      <c r="CM41" s="38"/>
      <c r="CN41" s="38"/>
      <c r="CO41" s="38"/>
      <c r="CP41" s="38"/>
      <c r="CQ41" s="38"/>
      <c r="CR41" s="38"/>
      <c r="CS41" s="38"/>
      <c r="CT41" s="38"/>
      <c r="CU41" s="38"/>
      <c r="CV41" s="38"/>
      <c r="CW41" s="38"/>
      <c r="CX41" s="38"/>
      <c r="CY41" s="38"/>
      <c r="CZ41" s="38"/>
      <c r="DA41" s="38"/>
      <c r="DB41" s="38"/>
      <c r="DC41" s="64"/>
      <c r="DD41" s="39"/>
      <c r="DE41" s="39"/>
      <c r="DF41" s="39"/>
      <c r="DG41" s="39"/>
      <c r="DH41" s="39"/>
      <c r="DI41" s="39"/>
      <c r="DJ41" s="39"/>
      <c r="DK41" s="39"/>
      <c r="DL41" s="39"/>
      <c r="DM41" s="39"/>
      <c r="DN41" s="39"/>
      <c r="DO41" s="38"/>
      <c r="DP41" s="38"/>
      <c r="DQ41" s="38"/>
      <c r="DR41" s="38"/>
      <c r="DS41" s="60"/>
    </row>
    <row r="42" spans="2:123" ht="30" x14ac:dyDescent="0.25">
      <c r="B42" s="1" t="str">
        <f>Base!I36</f>
        <v>310 implémenter la recherche par cépage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38"/>
      <c r="BN42" s="159"/>
      <c r="BO42" s="38"/>
      <c r="BP42" s="38"/>
      <c r="BQ42" s="38"/>
      <c r="BR42" s="38"/>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Base!I37</f>
        <v>311 implémenter la recherche par producteur</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38"/>
      <c r="BO43" s="159"/>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Base!I38</f>
        <v>312 implémenter la recherche par pays</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38"/>
      <c r="BP44" s="159"/>
      <c r="BQ44" s="38"/>
      <c r="BR44" s="38"/>
      <c r="BS44" s="38"/>
      <c r="BT44" s="39"/>
      <c r="BU44" s="39"/>
      <c r="BV44" s="39"/>
      <c r="BW44" s="39"/>
      <c r="BX44" s="39"/>
      <c r="BY44" s="39"/>
      <c r="BZ44" s="39"/>
      <c r="CA44" s="39"/>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Base!I39</f>
        <v>313 implémenter l'export d'une liste triée par PDF</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38"/>
      <c r="BQ45" s="159"/>
      <c r="BR45" s="159"/>
      <c r="BS45" s="159"/>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15" customHeight="1" x14ac:dyDescent="0.25">
      <c r="B46" s="1" t="str">
        <f>Base!I40</f>
        <v>314 implémenter l'ajout de casiers</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153"/>
      <c r="BH46" s="159"/>
      <c r="BI46" s="38"/>
      <c r="BJ46" s="38"/>
      <c r="BK46" s="38"/>
      <c r="BL46" s="38"/>
      <c r="BM46" s="38"/>
      <c r="BN46" s="38"/>
      <c r="BO46" s="38"/>
      <c r="BP46" s="38"/>
      <c r="BQ46" s="38"/>
      <c r="BR46" s="38"/>
      <c r="BS46" s="38"/>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30" x14ac:dyDescent="0.25">
      <c r="B47" s="1" t="str">
        <f>Base!I41</f>
        <v>315 implémenter le retrait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39"/>
      <c r="BH47" s="38"/>
      <c r="BI47" s="159"/>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Base!I42</f>
        <v>316 implémenter une alerte sur éléments spécifiques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38"/>
      <c r="BJ48" s="38"/>
      <c r="BK48" s="38"/>
      <c r="BL48" s="38"/>
      <c r="BM48" s="38"/>
      <c r="BN48" s="38"/>
      <c r="BO48" s="38"/>
      <c r="BP48" s="38"/>
      <c r="BQ48" s="38"/>
      <c r="BR48" s="38"/>
      <c r="BS48" s="38"/>
      <c r="BT48" s="15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Base!I43</f>
        <v>317 implémenter l'impression d'une liste triée</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38"/>
      <c r="BU49" s="39"/>
      <c r="BV49" s="39"/>
      <c r="BW49" s="39"/>
      <c r="BX49" s="39"/>
      <c r="BY49" s="153"/>
      <c r="BZ49" s="153"/>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x14ac:dyDescent="0.25">
      <c r="B50" s="1" t="s">
        <v>264</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9"/>
      <c r="BF50" s="39"/>
      <c r="BG50" s="39"/>
      <c r="BH50" s="39"/>
      <c r="BI50" s="39"/>
      <c r="BJ50" s="39"/>
      <c r="BK50" s="39"/>
      <c r="BL50" s="39"/>
      <c r="BM50" s="39"/>
      <c r="BN50" s="39"/>
      <c r="BO50" s="39"/>
      <c r="BP50" s="45"/>
      <c r="BQ50" s="38"/>
      <c r="BR50" s="38"/>
      <c r="BS50" s="38"/>
      <c r="BT50" s="38"/>
      <c r="BU50" s="38"/>
      <c r="BV50" s="38"/>
      <c r="BW50" s="38"/>
      <c r="BX50" s="38"/>
      <c r="BY50" s="38"/>
      <c r="BZ50" s="38"/>
      <c r="CA50" s="38"/>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x14ac:dyDescent="0.25">
      <c r="B51" s="1" t="s">
        <v>263</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88"/>
      <c r="BC51" s="64"/>
      <c r="BD51" s="39"/>
      <c r="BE51" s="39"/>
      <c r="BF51" s="39"/>
      <c r="BG51" s="39"/>
      <c r="BH51" s="39"/>
      <c r="BI51" s="39"/>
      <c r="BJ51" s="39"/>
      <c r="BK51" s="39"/>
      <c r="BL51" s="39"/>
      <c r="BM51" s="39"/>
      <c r="BN51" s="39"/>
      <c r="BO51" s="38"/>
      <c r="BP51" s="38"/>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
        <v>262</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Base!I47</f>
        <v xml:space="preserve">321 - </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75" customHeight="1" thickBot="1" x14ac:dyDescent="0.3">
      <c r="B54" s="1" t="str">
        <f>Base!I48</f>
        <v xml:space="preserve">322 - </v>
      </c>
      <c r="C54" s="66"/>
      <c r="D54" s="41"/>
      <c r="E54" s="41"/>
      <c r="F54" s="41"/>
      <c r="G54" s="41"/>
      <c r="H54" s="41"/>
      <c r="I54" s="41"/>
      <c r="J54" s="41"/>
      <c r="K54" s="41"/>
      <c r="L54" s="41"/>
      <c r="M54" s="41"/>
      <c r="N54" s="41"/>
      <c r="O54" s="40"/>
      <c r="P54" s="40"/>
      <c r="Q54" s="40"/>
      <c r="R54" s="40"/>
      <c r="S54" s="40"/>
      <c r="T54" s="40"/>
      <c r="U54" s="40"/>
      <c r="V54" s="40"/>
      <c r="W54" s="40"/>
      <c r="X54" s="40"/>
      <c r="Y54" s="40"/>
      <c r="Z54" s="40"/>
      <c r="AA54" s="40"/>
      <c r="AB54" s="40"/>
      <c r="AC54" s="40"/>
      <c r="AD54" s="40"/>
      <c r="AE54" s="40"/>
      <c r="AF54" s="40"/>
      <c r="AG54" s="65"/>
      <c r="AH54" s="59"/>
      <c r="AI54" s="59"/>
      <c r="AJ54" s="59"/>
      <c r="AK54" s="59"/>
      <c r="AL54" s="59"/>
      <c r="AM54" s="59"/>
      <c r="AN54" s="59"/>
      <c r="AO54" s="59"/>
      <c r="AP54" s="59"/>
      <c r="AQ54" s="59"/>
      <c r="AR54" s="59"/>
      <c r="AS54" s="58"/>
      <c r="AT54" s="58"/>
      <c r="AU54" s="58"/>
      <c r="AV54" s="58"/>
      <c r="AW54" s="58"/>
      <c r="AX54" s="58"/>
      <c r="AY54" s="58"/>
      <c r="AZ54" s="58"/>
      <c r="BA54" s="58"/>
      <c r="BB54" s="189"/>
      <c r="BC54" s="65"/>
      <c r="BD54" s="59"/>
      <c r="BE54" s="59"/>
      <c r="BF54" s="59"/>
      <c r="BG54" s="59"/>
      <c r="BH54" s="59"/>
      <c r="BI54" s="59"/>
      <c r="BJ54" s="59"/>
      <c r="BK54" s="59"/>
      <c r="BL54" s="59"/>
      <c r="BM54" s="59"/>
      <c r="BN54" s="59"/>
      <c r="BO54" s="58"/>
      <c r="BP54" s="58"/>
      <c r="BQ54" s="58"/>
      <c r="BR54" s="58"/>
      <c r="BS54" s="58"/>
      <c r="BT54" s="58"/>
      <c r="BU54" s="58"/>
      <c r="BV54" s="58"/>
      <c r="BW54" s="58"/>
      <c r="BX54" s="58"/>
      <c r="BY54" s="58"/>
      <c r="BZ54" s="58"/>
      <c r="CA54" s="58"/>
      <c r="CB54" s="58"/>
      <c r="CC54" s="58"/>
      <c r="CD54" s="58"/>
      <c r="CE54" s="58"/>
      <c r="CF54" s="63"/>
      <c r="CG54" s="41"/>
      <c r="CH54" s="41"/>
      <c r="CI54" s="41"/>
      <c r="CJ54" s="41"/>
      <c r="CK54" s="40"/>
      <c r="CL54" s="40"/>
      <c r="CM54" s="40"/>
      <c r="CN54" s="40"/>
      <c r="CO54" s="40"/>
      <c r="CP54" s="40"/>
      <c r="CQ54" s="40"/>
      <c r="CR54" s="40"/>
      <c r="CS54" s="40"/>
      <c r="CT54" s="40"/>
      <c r="CU54" s="40"/>
      <c r="CV54" s="40"/>
      <c r="CW54" s="40"/>
      <c r="CX54" s="40"/>
      <c r="CY54" s="40"/>
      <c r="CZ54" s="40"/>
      <c r="DA54" s="40"/>
      <c r="DB54" s="40"/>
      <c r="DC54" s="66"/>
      <c r="DD54" s="41"/>
      <c r="DE54" s="41"/>
      <c r="DF54" s="41"/>
      <c r="DG54" s="41"/>
      <c r="DH54" s="41"/>
      <c r="DI54" s="41"/>
      <c r="DJ54" s="41"/>
      <c r="DK54" s="41"/>
      <c r="DL54" s="41"/>
      <c r="DM54" s="41"/>
      <c r="DN54" s="41"/>
      <c r="DO54" s="40"/>
      <c r="DP54" s="40"/>
      <c r="DQ54" s="40"/>
      <c r="DR54" s="40"/>
      <c r="DS54" s="61"/>
    </row>
    <row r="55" spans="2:123" ht="15.75" customHeight="1" x14ac:dyDescent="0.25">
      <c r="B55" s="228" t="str">
        <f>Base!H49</f>
        <v>Documentation</v>
      </c>
      <c r="C55" s="29"/>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0"/>
      <c r="CA55" s="50"/>
      <c r="CB55" s="50"/>
      <c r="CC55" s="50"/>
      <c r="CD55" s="50"/>
      <c r="CE55" s="50"/>
      <c r="CF55" s="50"/>
      <c r="CG55" s="50"/>
      <c r="CH55" s="50"/>
      <c r="CI55" s="50"/>
      <c r="CJ55" s="50"/>
      <c r="CK55" s="50"/>
      <c r="CL55" s="50"/>
      <c r="CM55" s="50"/>
      <c r="CN55" s="50"/>
      <c r="CO55" s="50"/>
      <c r="CP55" s="50"/>
      <c r="CQ55" s="50"/>
      <c r="CR55" s="50"/>
      <c r="CS55" s="50"/>
      <c r="CT55" s="50"/>
      <c r="CU55" s="50"/>
      <c r="CV55" s="50"/>
      <c r="CW55" s="50"/>
      <c r="CX55" s="50"/>
      <c r="CY55" s="50"/>
      <c r="CZ55" s="50"/>
      <c r="DA55" s="50"/>
      <c r="DB55" s="50"/>
      <c r="DC55" s="50"/>
      <c r="DD55" s="50"/>
      <c r="DE55" s="50"/>
      <c r="DF55" s="50"/>
      <c r="DG55" s="50"/>
      <c r="DH55" s="50"/>
      <c r="DI55" s="50"/>
      <c r="DJ55" s="50"/>
      <c r="DK55" s="50"/>
      <c r="DL55" s="50"/>
      <c r="DM55" s="50"/>
      <c r="DN55" s="50"/>
      <c r="DO55" s="50"/>
      <c r="DP55" s="50"/>
      <c r="DQ55" s="50"/>
      <c r="DR55" s="50"/>
      <c r="DS55" s="51"/>
    </row>
    <row r="56" spans="2:123" ht="15.75" customHeight="1" thickBot="1" x14ac:dyDescent="0.3">
      <c r="B56" s="229"/>
      <c r="C56" s="30"/>
      <c r="D56" s="52"/>
      <c r="E56" s="52"/>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c r="BV56" s="52"/>
      <c r="BW56" s="52"/>
      <c r="BX56" s="52"/>
      <c r="BY56" s="52"/>
      <c r="BZ56" s="52"/>
      <c r="CA56" s="52"/>
      <c r="CB56" s="52"/>
      <c r="CC56" s="52"/>
      <c r="CD56" s="52"/>
      <c r="CE56" s="52"/>
      <c r="CF56" s="52"/>
      <c r="CG56" s="52"/>
      <c r="CH56" s="52"/>
      <c r="CI56" s="52"/>
      <c r="CJ56" s="52"/>
      <c r="CK56" s="52"/>
      <c r="CL56" s="52"/>
      <c r="CM56" s="52"/>
      <c r="CN56" s="52"/>
      <c r="CO56" s="52"/>
      <c r="CP56" s="52"/>
      <c r="CQ56" s="52"/>
      <c r="CR56" s="52"/>
      <c r="CS56" s="52"/>
      <c r="CT56" s="52"/>
      <c r="CU56" s="52"/>
      <c r="CV56" s="52"/>
      <c r="CW56" s="52"/>
      <c r="CX56" s="52"/>
      <c r="CY56" s="52"/>
      <c r="CZ56" s="52"/>
      <c r="DA56" s="52"/>
      <c r="DB56" s="52"/>
      <c r="DC56" s="52"/>
      <c r="DD56" s="52"/>
      <c r="DE56" s="52"/>
      <c r="DF56" s="52"/>
      <c r="DG56" s="52"/>
      <c r="DH56" s="52"/>
      <c r="DI56" s="52"/>
      <c r="DJ56" s="52"/>
      <c r="DK56" s="52"/>
      <c r="DL56" s="52"/>
      <c r="DM56" s="52"/>
      <c r="DN56" s="52"/>
      <c r="DO56" s="52"/>
      <c r="DP56" s="52"/>
      <c r="DQ56" s="52"/>
      <c r="DR56" s="52"/>
      <c r="DS56" s="53"/>
    </row>
    <row r="57" spans="2:123" ht="15" customHeight="1" x14ac:dyDescent="0.25">
      <c r="B57" s="1" t="str">
        <f>Base!I49</f>
        <v>401 mise en forme du rapport de projet</v>
      </c>
      <c r="C57" s="183"/>
      <c r="D57" s="182"/>
      <c r="E57" s="182"/>
      <c r="F57" s="182"/>
      <c r="G57" s="182"/>
      <c r="H57" s="182"/>
      <c r="I57" s="182"/>
      <c r="J57" s="182"/>
      <c r="K57" s="182"/>
      <c r="L57" s="182"/>
      <c r="M57" s="182"/>
      <c r="N57" s="182"/>
      <c r="O57" s="178"/>
      <c r="P57" s="178"/>
      <c r="Q57" s="178"/>
      <c r="R57" s="178"/>
      <c r="S57" s="178"/>
      <c r="T57" s="178"/>
      <c r="U57" s="178"/>
      <c r="V57" s="178"/>
      <c r="W57" s="178"/>
      <c r="X57" s="178"/>
      <c r="Y57" s="178"/>
      <c r="Z57" s="178"/>
      <c r="AA57" s="178"/>
      <c r="AB57" s="178"/>
      <c r="AC57" s="178"/>
      <c r="AD57" s="178"/>
      <c r="AE57" s="178"/>
      <c r="AF57" s="178"/>
      <c r="AG57" s="183"/>
      <c r="AH57" s="182"/>
      <c r="AI57" s="182"/>
      <c r="AJ57" s="182"/>
      <c r="AK57" s="182"/>
      <c r="AL57" s="182"/>
      <c r="AM57" s="182"/>
      <c r="AN57" s="182"/>
      <c r="AO57" s="182"/>
      <c r="AP57" s="182"/>
      <c r="AQ57" s="182"/>
      <c r="AR57" s="182"/>
      <c r="AS57" s="178"/>
      <c r="AT57" s="178"/>
      <c r="AU57" s="178"/>
      <c r="AV57" s="178"/>
      <c r="AW57" s="178"/>
      <c r="AX57" s="178"/>
      <c r="AY57" s="178"/>
      <c r="AZ57" s="178"/>
      <c r="BA57" s="178"/>
      <c r="BB57" s="178"/>
      <c r="BC57" s="179"/>
      <c r="BD57" s="180"/>
      <c r="BE57" s="180"/>
      <c r="BF57" s="180"/>
      <c r="BG57" s="180"/>
      <c r="BH57" s="180"/>
      <c r="BI57" s="180"/>
      <c r="BJ57" s="180"/>
      <c r="BK57" s="180"/>
      <c r="BL57" s="180"/>
      <c r="BM57" s="180"/>
      <c r="BN57" s="180"/>
      <c r="BO57" s="181"/>
      <c r="BP57" s="181"/>
      <c r="BQ57" s="181"/>
      <c r="BR57" s="181"/>
      <c r="BS57" s="181"/>
      <c r="BT57" s="181"/>
      <c r="BU57" s="181"/>
      <c r="BV57" s="181"/>
      <c r="BW57" s="181"/>
      <c r="BX57" s="181"/>
      <c r="BY57" s="181"/>
      <c r="BZ57" s="181"/>
      <c r="CA57" s="181"/>
      <c r="CB57" s="181"/>
      <c r="CC57" s="181"/>
      <c r="CD57" s="181"/>
      <c r="CE57" s="181"/>
      <c r="CF57" s="190"/>
      <c r="CG57" s="182"/>
      <c r="CH57" s="182"/>
      <c r="CI57" s="182"/>
      <c r="CJ57" s="182"/>
      <c r="CK57" s="178"/>
      <c r="CL57" s="178"/>
      <c r="CM57" s="178"/>
      <c r="CN57" s="178"/>
      <c r="CO57" s="178"/>
      <c r="CP57" s="178"/>
      <c r="CQ57" s="178"/>
      <c r="CR57" s="178"/>
      <c r="CS57" s="178"/>
      <c r="CT57" s="178"/>
      <c r="CU57" s="178"/>
      <c r="CV57" s="178"/>
      <c r="CW57" s="178"/>
      <c r="CX57" s="178"/>
      <c r="CY57" s="178"/>
      <c r="CZ57" s="178"/>
      <c r="DA57" s="178"/>
      <c r="DB57" s="178"/>
      <c r="DC57" s="183"/>
      <c r="DD57" s="182"/>
      <c r="DE57" s="182"/>
      <c r="DF57" s="182"/>
      <c r="DG57" s="182"/>
      <c r="DH57" s="182"/>
      <c r="DI57" s="182"/>
      <c r="DJ57" s="182"/>
      <c r="DK57" s="182"/>
      <c r="DL57" s="182"/>
      <c r="DM57" s="182"/>
      <c r="DN57" s="182"/>
      <c r="DO57" s="178"/>
      <c r="DP57" s="178"/>
      <c r="DQ57" s="178"/>
      <c r="DR57" s="178"/>
      <c r="DS57" s="184"/>
    </row>
    <row r="58" spans="2:123" x14ac:dyDescent="0.25">
      <c r="B58" s="1" t="str">
        <f>Base!I50</f>
        <v>402 journal de travail</v>
      </c>
      <c r="C58" s="160"/>
      <c r="D58" s="161"/>
      <c r="E58" s="161"/>
      <c r="F58" s="161"/>
      <c r="G58" s="161"/>
      <c r="H58" s="161"/>
      <c r="I58" s="161"/>
      <c r="J58" s="161"/>
      <c r="K58" s="161"/>
      <c r="L58" s="161"/>
      <c r="M58" s="161"/>
      <c r="N58" s="161"/>
      <c r="O58" s="162"/>
      <c r="P58" s="162"/>
      <c r="Q58" s="162"/>
      <c r="R58" s="162"/>
      <c r="S58" s="162"/>
      <c r="T58" s="162"/>
      <c r="U58" s="162"/>
      <c r="V58" s="162"/>
      <c r="W58" s="162"/>
      <c r="X58" s="162"/>
      <c r="Y58" s="162"/>
      <c r="Z58" s="162"/>
      <c r="AA58" s="162"/>
      <c r="AB58" s="162"/>
      <c r="AC58" s="162"/>
      <c r="AD58" s="162"/>
      <c r="AE58" s="162"/>
      <c r="AF58" s="162"/>
      <c r="AG58" s="160"/>
      <c r="AH58" s="161"/>
      <c r="AI58" s="161"/>
      <c r="AJ58" s="161"/>
      <c r="AK58" s="161"/>
      <c r="AL58" s="161"/>
      <c r="AM58" s="161"/>
      <c r="AN58" s="161"/>
      <c r="AO58" s="161"/>
      <c r="AP58" s="161"/>
      <c r="AQ58" s="161"/>
      <c r="AR58" s="161"/>
      <c r="AS58" s="162"/>
      <c r="AT58" s="162"/>
      <c r="AU58" s="162"/>
      <c r="AV58" s="162"/>
      <c r="AW58" s="162"/>
      <c r="AX58" s="162"/>
      <c r="AY58" s="162"/>
      <c r="AZ58" s="162"/>
      <c r="BA58" s="162"/>
      <c r="BB58" s="162"/>
      <c r="BC58" s="160"/>
      <c r="BD58" s="161"/>
      <c r="BE58" s="161"/>
      <c r="BF58" s="161"/>
      <c r="BG58" s="161"/>
      <c r="BH58" s="161"/>
      <c r="BI58" s="161"/>
      <c r="BJ58" s="161"/>
      <c r="BK58" s="161"/>
      <c r="BL58" s="161"/>
      <c r="BM58" s="161"/>
      <c r="BN58" s="161"/>
      <c r="BO58" s="162"/>
      <c r="BP58" s="162"/>
      <c r="BQ58" s="162"/>
      <c r="BR58" s="162"/>
      <c r="BS58" s="162"/>
      <c r="BT58" s="162"/>
      <c r="BU58" s="162"/>
      <c r="BV58" s="162"/>
      <c r="BW58" s="162"/>
      <c r="BX58" s="162"/>
      <c r="BY58" s="162"/>
      <c r="BZ58" s="162"/>
      <c r="CA58" s="162"/>
      <c r="CB58" s="162"/>
      <c r="CC58" s="162"/>
      <c r="CD58" s="162"/>
      <c r="CE58" s="162"/>
      <c r="CF58" s="163"/>
      <c r="CG58" s="161"/>
      <c r="CH58" s="161"/>
      <c r="CI58" s="161"/>
      <c r="CJ58" s="161"/>
      <c r="CK58" s="162"/>
      <c r="CL58" s="162"/>
      <c r="CM58" s="162"/>
      <c r="CN58" s="162"/>
      <c r="CO58" s="162"/>
      <c r="CP58" s="162"/>
      <c r="CQ58" s="162"/>
      <c r="CR58" s="162"/>
      <c r="CS58" s="162"/>
      <c r="CT58" s="162"/>
      <c r="CU58" s="162"/>
      <c r="CV58" s="162"/>
      <c r="CW58" s="162"/>
      <c r="CX58" s="162"/>
      <c r="CY58" s="162"/>
      <c r="CZ58" s="162"/>
      <c r="DA58" s="162"/>
      <c r="DB58" s="162"/>
      <c r="DC58" s="160"/>
      <c r="DD58" s="161"/>
      <c r="DE58" s="161"/>
      <c r="DF58" s="161"/>
      <c r="DG58" s="161"/>
      <c r="DH58" s="161"/>
      <c r="DI58" s="161"/>
      <c r="DJ58" s="161"/>
      <c r="DK58" s="161"/>
      <c r="DL58" s="161"/>
      <c r="DM58" s="161"/>
      <c r="DN58" s="161"/>
      <c r="DO58" s="162"/>
      <c r="DP58" s="162"/>
      <c r="DQ58" s="162"/>
      <c r="DR58" s="162"/>
      <c r="DS58" s="163"/>
    </row>
    <row r="59" spans="2:123" x14ac:dyDescent="0.25">
      <c r="B59" s="1" t="str">
        <f>Base!I51</f>
        <v>403 procédure d'installation</v>
      </c>
      <c r="C59" s="64"/>
      <c r="D59" s="39"/>
      <c r="E59" s="39"/>
      <c r="F59" s="39"/>
      <c r="G59" s="39"/>
      <c r="H59" s="39"/>
      <c r="I59" s="39"/>
      <c r="J59" s="39"/>
      <c r="K59" s="39"/>
      <c r="L59" s="39"/>
      <c r="M59" s="39"/>
      <c r="N59" s="39"/>
      <c r="O59" s="38"/>
      <c r="P59" s="38"/>
      <c r="Q59" s="38"/>
      <c r="R59" s="38"/>
      <c r="S59" s="38"/>
      <c r="T59" s="38"/>
      <c r="U59" s="38"/>
      <c r="V59" s="38"/>
      <c r="W59" s="38"/>
      <c r="X59" s="38"/>
      <c r="Y59" s="38"/>
      <c r="Z59" s="38"/>
      <c r="AA59" s="38"/>
      <c r="AB59" s="38"/>
      <c r="AC59" s="38"/>
      <c r="AD59" s="38"/>
      <c r="AE59" s="38"/>
      <c r="AF59" s="38"/>
      <c r="AG59" s="64"/>
      <c r="AH59" s="39"/>
      <c r="AI59" s="39"/>
      <c r="AJ59" s="39"/>
      <c r="AK59" s="39"/>
      <c r="AL59" s="39"/>
      <c r="AM59" s="39"/>
      <c r="AN59" s="39"/>
      <c r="AO59" s="39"/>
      <c r="AP59" s="39"/>
      <c r="AQ59" s="39"/>
      <c r="AR59" s="39"/>
      <c r="AS59" s="38"/>
      <c r="AT59" s="38"/>
      <c r="AU59" s="38"/>
      <c r="AV59" s="38"/>
      <c r="AW59" s="38"/>
      <c r="AX59" s="38"/>
      <c r="AY59" s="38"/>
      <c r="AZ59" s="38"/>
      <c r="BA59" s="38"/>
      <c r="BB59" s="38"/>
      <c r="BC59" s="64"/>
      <c r="BD59" s="39"/>
      <c r="BE59" s="39"/>
      <c r="BF59" s="39"/>
      <c r="BG59" s="39"/>
      <c r="BH59" s="39"/>
      <c r="BI59" s="39"/>
      <c r="BJ59" s="39"/>
      <c r="BK59" s="39"/>
      <c r="BL59" s="39"/>
      <c r="BM59" s="39"/>
      <c r="BN59" s="39"/>
      <c r="BO59" s="38"/>
      <c r="BP59" s="38"/>
      <c r="BQ59" s="38"/>
      <c r="BR59" s="38"/>
      <c r="BS59" s="38"/>
      <c r="BT59" s="38"/>
      <c r="BU59" s="38"/>
      <c r="BV59" s="38"/>
      <c r="BW59" s="38"/>
      <c r="BX59" s="38"/>
      <c r="BY59" s="38"/>
      <c r="BZ59" s="38"/>
      <c r="CA59" s="38"/>
      <c r="CB59" s="38"/>
      <c r="CC59" s="38"/>
      <c r="CD59" s="38"/>
      <c r="CE59" s="38"/>
      <c r="CF59" s="60"/>
      <c r="CG59" s="39"/>
      <c r="CH59" s="39"/>
      <c r="CI59" s="39"/>
      <c r="CJ59" s="39"/>
      <c r="CK59" s="38"/>
      <c r="CL59" s="38"/>
      <c r="CM59" s="38"/>
      <c r="CN59" s="38"/>
      <c r="CO59" s="38"/>
      <c r="CP59" s="38"/>
      <c r="CQ59" s="38"/>
      <c r="CR59" s="38"/>
      <c r="CS59" s="38"/>
      <c r="CT59" s="38"/>
      <c r="CU59" s="38"/>
      <c r="CV59" s="38"/>
      <c r="CW59" s="38"/>
      <c r="CX59" s="38"/>
      <c r="CY59" s="38"/>
      <c r="CZ59" s="38"/>
      <c r="DA59" s="38"/>
      <c r="DB59" s="38"/>
      <c r="DC59" s="64"/>
      <c r="DD59" s="39"/>
      <c r="DE59" s="39"/>
      <c r="DF59" s="39"/>
      <c r="DG59" s="39"/>
      <c r="DH59" s="39"/>
      <c r="DI59" s="39"/>
      <c r="DJ59" s="39"/>
      <c r="DK59" s="39"/>
      <c r="DL59" s="39"/>
      <c r="DM59" s="157"/>
      <c r="DN59" s="157"/>
      <c r="DO59" s="158"/>
      <c r="DP59" s="38"/>
      <c r="DQ59" s="38"/>
      <c r="DR59" s="38"/>
      <c r="DS59" s="60"/>
    </row>
    <row r="60" spans="2:123" x14ac:dyDescent="0.25">
      <c r="B60" s="1" t="str">
        <f>Base!I52</f>
        <v>404 stratégie de test</v>
      </c>
      <c r="C60" s="64"/>
      <c r="D60" s="39"/>
      <c r="E60" s="39"/>
      <c r="F60" s="39"/>
      <c r="G60" s="39"/>
      <c r="H60" s="39"/>
      <c r="I60" s="39"/>
      <c r="J60" s="39"/>
      <c r="K60" s="39"/>
      <c r="L60" s="39"/>
      <c r="M60" s="39"/>
      <c r="N60" s="39"/>
      <c r="O60" s="38"/>
      <c r="P60" s="15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157"/>
      <c r="DL60" s="157"/>
      <c r="DM60" s="39"/>
      <c r="DN60" s="39"/>
      <c r="DO60" s="38"/>
      <c r="DP60" s="38"/>
      <c r="DQ60" s="38"/>
      <c r="DR60" s="38"/>
      <c r="DS60" s="60"/>
    </row>
    <row r="61" spans="2:123" x14ac:dyDescent="0.25">
      <c r="B61" s="1" t="str">
        <f>Base!I53</f>
        <v>405 mise en place du GitHub</v>
      </c>
      <c r="C61" s="64"/>
      <c r="D61" s="39"/>
      <c r="E61" s="39"/>
      <c r="F61" s="39"/>
      <c r="G61" s="39"/>
      <c r="H61" s="39"/>
      <c r="I61" s="39"/>
      <c r="J61" s="157"/>
      <c r="K61" s="39"/>
      <c r="L61" s="39"/>
      <c r="M61" s="39"/>
      <c r="N61" s="39"/>
      <c r="O61" s="38"/>
      <c r="P61" s="38"/>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39"/>
      <c r="DL61" s="39"/>
      <c r="DM61" s="39"/>
      <c r="DN61" s="39"/>
      <c r="DO61" s="38"/>
      <c r="DP61" s="38"/>
      <c r="DQ61" s="38"/>
      <c r="DR61" s="38"/>
      <c r="DS61" s="60"/>
    </row>
    <row r="62" spans="2:123" ht="30.75" thickBot="1" x14ac:dyDescent="0.3">
      <c r="B62" s="1" t="str">
        <f>Base!I54</f>
        <v>406 envoi de l'avancée au CdP et aux experts</v>
      </c>
      <c r="C62" s="66"/>
      <c r="D62" s="41"/>
      <c r="E62" s="41"/>
      <c r="F62" s="41"/>
      <c r="G62" s="41"/>
      <c r="H62" s="41"/>
      <c r="I62" s="41"/>
      <c r="J62" s="164"/>
      <c r="K62" s="41"/>
      <c r="L62" s="41"/>
      <c r="M62" s="41"/>
      <c r="N62" s="41"/>
      <c r="O62" s="165"/>
      <c r="P62" s="40"/>
      <c r="Q62" s="40"/>
      <c r="R62" s="40"/>
      <c r="S62" s="40"/>
      <c r="T62" s="40"/>
      <c r="U62" s="40"/>
      <c r="V62" s="40"/>
      <c r="W62" s="40"/>
      <c r="X62" s="40"/>
      <c r="Y62" s="40"/>
      <c r="Z62" s="40"/>
      <c r="AA62" s="40"/>
      <c r="AB62" s="40"/>
      <c r="AC62" s="40"/>
      <c r="AD62" s="40"/>
      <c r="AE62" s="40"/>
      <c r="AF62" s="165"/>
      <c r="AG62" s="66"/>
      <c r="AH62" s="41"/>
      <c r="AI62" s="41"/>
      <c r="AJ62" s="41"/>
      <c r="AK62" s="41"/>
      <c r="AL62" s="41"/>
      <c r="AM62" s="41"/>
      <c r="AN62" s="41"/>
      <c r="AO62" s="41"/>
      <c r="AP62" s="41"/>
      <c r="AQ62" s="41"/>
      <c r="AR62" s="41"/>
      <c r="AS62" s="165"/>
      <c r="AT62" s="40"/>
      <c r="AU62" s="40"/>
      <c r="AV62" s="40"/>
      <c r="AW62" s="40"/>
      <c r="AX62" s="40"/>
      <c r="AY62" s="40"/>
      <c r="AZ62" s="40"/>
      <c r="BA62" s="40"/>
      <c r="BB62" s="165"/>
      <c r="BC62" s="65"/>
      <c r="BD62" s="59"/>
      <c r="BE62" s="59"/>
      <c r="BF62" s="59"/>
      <c r="BG62" s="59"/>
      <c r="BH62" s="59"/>
      <c r="BI62" s="59"/>
      <c r="BJ62" s="59"/>
      <c r="BK62" s="59"/>
      <c r="BL62" s="59"/>
      <c r="BM62" s="59"/>
      <c r="BN62" s="59"/>
      <c r="BO62" s="166"/>
      <c r="BP62" s="58"/>
      <c r="BQ62" s="58"/>
      <c r="BR62" s="58"/>
      <c r="BS62" s="58"/>
      <c r="BT62" s="58"/>
      <c r="BU62" s="58"/>
      <c r="BV62" s="58"/>
      <c r="BW62" s="58"/>
      <c r="BX62" s="58"/>
      <c r="BY62" s="58"/>
      <c r="BZ62" s="58"/>
      <c r="CA62" s="58"/>
      <c r="CB62" s="58"/>
      <c r="CC62" s="58"/>
      <c r="CD62" s="58"/>
      <c r="CE62" s="58"/>
      <c r="CF62" s="191"/>
      <c r="CG62" s="41"/>
      <c r="CH62" s="41"/>
      <c r="CI62" s="41"/>
      <c r="CJ62" s="41"/>
      <c r="CK62" s="165"/>
      <c r="CL62" s="40"/>
      <c r="CM62" s="40"/>
      <c r="CN62" s="40"/>
      <c r="CO62" s="40"/>
      <c r="CP62" s="40"/>
      <c r="CQ62" s="40"/>
      <c r="CR62" s="40"/>
      <c r="CS62" s="40"/>
      <c r="CT62" s="40"/>
      <c r="CU62" s="40"/>
      <c r="CV62" s="40"/>
      <c r="CW62" s="40"/>
      <c r="CX62" s="40"/>
      <c r="CY62" s="40"/>
      <c r="CZ62" s="40"/>
      <c r="DA62" s="40"/>
      <c r="DB62" s="165"/>
      <c r="DC62" s="66"/>
      <c r="DD62" s="41"/>
      <c r="DE62" s="41"/>
      <c r="DF62" s="41"/>
      <c r="DG62" s="41"/>
      <c r="DH62" s="41"/>
      <c r="DI62" s="41"/>
      <c r="DJ62" s="41"/>
      <c r="DK62" s="41"/>
      <c r="DL62" s="41"/>
      <c r="DM62" s="41"/>
      <c r="DN62" s="41"/>
      <c r="DO62" s="40"/>
      <c r="DP62" s="40"/>
      <c r="DQ62" s="40"/>
      <c r="DR62" s="165"/>
      <c r="DS62" s="167"/>
    </row>
    <row r="63" spans="2:123" ht="15" customHeight="1" x14ac:dyDescent="0.25">
      <c r="B63" s="230" t="str">
        <f>Base!H55</f>
        <v>Test</v>
      </c>
      <c r="C63" s="31"/>
      <c r="D63" s="54"/>
      <c r="E63" s="54"/>
      <c r="F63" s="54"/>
      <c r="G63" s="54"/>
      <c r="H63" s="54"/>
      <c r="I63" s="54"/>
      <c r="J63" s="54"/>
      <c r="K63" s="54"/>
      <c r="L63" s="54"/>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54"/>
      <c r="BH63" s="54"/>
      <c r="BI63" s="54"/>
      <c r="BJ63" s="54"/>
      <c r="BK63" s="54"/>
      <c r="BL63" s="54"/>
      <c r="BM63" s="54"/>
      <c r="BN63" s="54"/>
      <c r="BO63" s="54"/>
      <c r="BP63" s="54"/>
      <c r="BQ63" s="54"/>
      <c r="BR63" s="54"/>
      <c r="BS63" s="54"/>
      <c r="BT63" s="54"/>
      <c r="BU63" s="54"/>
      <c r="BV63" s="54"/>
      <c r="BW63" s="54"/>
      <c r="BX63" s="54"/>
      <c r="BY63" s="54"/>
      <c r="BZ63" s="54"/>
      <c r="CA63" s="54"/>
      <c r="CB63" s="54"/>
      <c r="CC63" s="54"/>
      <c r="CD63" s="54"/>
      <c r="CE63" s="54"/>
      <c r="CF63" s="54"/>
      <c r="CG63" s="54"/>
      <c r="CH63" s="54"/>
      <c r="CI63" s="54"/>
      <c r="CJ63" s="54"/>
      <c r="CK63" s="54"/>
      <c r="CL63" s="54"/>
      <c r="CM63" s="54"/>
      <c r="CN63" s="54"/>
      <c r="CO63" s="54"/>
      <c r="CP63" s="54"/>
      <c r="CQ63" s="54"/>
      <c r="CR63" s="54"/>
      <c r="CS63" s="54"/>
      <c r="CT63" s="54"/>
      <c r="CU63" s="54"/>
      <c r="CV63" s="54"/>
      <c r="CW63" s="54"/>
      <c r="CX63" s="54"/>
      <c r="CY63" s="54"/>
      <c r="CZ63" s="54"/>
      <c r="DA63" s="54"/>
      <c r="DB63" s="54"/>
      <c r="DC63" s="54"/>
      <c r="DD63" s="54"/>
      <c r="DE63" s="54"/>
      <c r="DF63" s="54"/>
      <c r="DG63" s="54"/>
      <c r="DH63" s="54"/>
      <c r="DI63" s="54"/>
      <c r="DJ63" s="54"/>
      <c r="DK63" s="54"/>
      <c r="DL63" s="54"/>
      <c r="DM63" s="54"/>
      <c r="DN63" s="54"/>
      <c r="DO63" s="54"/>
      <c r="DP63" s="54"/>
      <c r="DQ63" s="54"/>
      <c r="DR63" s="54"/>
      <c r="DS63" s="55"/>
    </row>
    <row r="64" spans="2:123" ht="15.75" customHeight="1" thickBot="1" x14ac:dyDescent="0.3">
      <c r="B64" s="231"/>
      <c r="C64" s="32"/>
      <c r="D64" s="56"/>
      <c r="E64" s="56"/>
      <c r="F64" s="56"/>
      <c r="G64" s="56"/>
      <c r="H64" s="56"/>
      <c r="I64" s="56"/>
      <c r="J64" s="56"/>
      <c r="K64" s="56"/>
      <c r="L64" s="56"/>
      <c r="M64" s="56"/>
      <c r="N64" s="56"/>
      <c r="O64" s="56"/>
      <c r="P64" s="56"/>
      <c r="Q64" s="56"/>
      <c r="R64" s="56"/>
      <c r="S64" s="56"/>
      <c r="T64" s="56"/>
      <c r="U64" s="56"/>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c r="BL64" s="56"/>
      <c r="BM64" s="56"/>
      <c r="BN64" s="56"/>
      <c r="BO64" s="56"/>
      <c r="BP64" s="56"/>
      <c r="BQ64" s="56"/>
      <c r="BR64" s="56"/>
      <c r="BS64" s="56"/>
      <c r="BT64" s="56"/>
      <c r="BU64" s="56"/>
      <c r="BV64" s="56"/>
      <c r="BW64" s="56"/>
      <c r="BX64" s="56"/>
      <c r="BY64" s="56"/>
      <c r="BZ64" s="56"/>
      <c r="CA64" s="56"/>
      <c r="CB64" s="56"/>
      <c r="CC64" s="56"/>
      <c r="CD64" s="56"/>
      <c r="CE64" s="56"/>
      <c r="CF64" s="56"/>
      <c r="CG64" s="56"/>
      <c r="CH64" s="56"/>
      <c r="CI64" s="56"/>
      <c r="CJ64" s="56"/>
      <c r="CK64" s="56"/>
      <c r="CL64" s="56"/>
      <c r="CM64" s="56"/>
      <c r="CN64" s="56"/>
      <c r="CO64" s="56"/>
      <c r="CP64" s="56"/>
      <c r="CQ64" s="56"/>
      <c r="CR64" s="56"/>
      <c r="CS64" s="56"/>
      <c r="CT64" s="56"/>
      <c r="CU64" s="56"/>
      <c r="CV64" s="56"/>
      <c r="CW64" s="56"/>
      <c r="CX64" s="56"/>
      <c r="CY64" s="56"/>
      <c r="CZ64" s="56"/>
      <c r="DA64" s="56"/>
      <c r="DB64" s="56"/>
      <c r="DC64" s="56"/>
      <c r="DD64" s="56"/>
      <c r="DE64" s="56"/>
      <c r="DF64" s="56"/>
      <c r="DG64" s="56"/>
      <c r="DH64" s="56"/>
      <c r="DI64" s="56"/>
      <c r="DJ64" s="56"/>
      <c r="DK64" s="56"/>
      <c r="DL64" s="56"/>
      <c r="DM64" s="56"/>
      <c r="DN64" s="56"/>
      <c r="DO64" s="56"/>
      <c r="DP64" s="56"/>
      <c r="DQ64" s="56"/>
      <c r="DR64" s="56"/>
      <c r="DS64" s="57"/>
    </row>
    <row r="65" spans="2:125" ht="15" customHeight="1" x14ac:dyDescent="0.25">
      <c r="B65" s="1" t="str">
        <f>Base!I55</f>
        <v>501 réalisation des tests unitaires</v>
      </c>
      <c r="C65" s="67"/>
      <c r="D65" s="45"/>
      <c r="E65" s="45"/>
      <c r="F65" s="45"/>
      <c r="G65" s="45"/>
      <c r="H65" s="45"/>
      <c r="I65" s="45"/>
      <c r="J65" s="45"/>
      <c r="K65" s="45"/>
      <c r="L65" s="45"/>
      <c r="M65" s="45"/>
      <c r="N65" s="45"/>
      <c r="O65" s="44"/>
      <c r="P65" s="44"/>
      <c r="Q65" s="44"/>
      <c r="R65" s="44"/>
      <c r="S65" s="44"/>
      <c r="T65" s="44"/>
      <c r="U65" s="44"/>
      <c r="V65" s="44"/>
      <c r="W65" s="44"/>
      <c r="X65" s="44"/>
      <c r="Y65" s="44"/>
      <c r="Z65" s="44"/>
      <c r="AA65" s="44"/>
      <c r="AB65" s="44"/>
      <c r="AC65" s="44"/>
      <c r="AD65" s="44"/>
      <c r="AE65" s="44"/>
      <c r="AF65" s="44"/>
      <c r="AG65" s="67"/>
      <c r="AH65" s="45"/>
      <c r="AI65" s="45"/>
      <c r="AJ65" s="45"/>
      <c r="AK65" s="45"/>
      <c r="AL65" s="45"/>
      <c r="AM65" s="45"/>
      <c r="AN65" s="45"/>
      <c r="AO65" s="45"/>
      <c r="AP65" s="45"/>
      <c r="AQ65" s="45"/>
      <c r="AR65" s="45"/>
      <c r="AS65" s="44"/>
      <c r="AT65" s="44"/>
      <c r="AU65" s="44"/>
      <c r="AV65" s="44"/>
      <c r="AW65" s="178"/>
      <c r="AX65" s="178"/>
      <c r="AY65" s="178"/>
      <c r="AZ65" s="178"/>
      <c r="BA65" s="178"/>
      <c r="BB65" s="178"/>
      <c r="BC65" s="179"/>
      <c r="BD65" s="180"/>
      <c r="BE65" s="180"/>
      <c r="BF65" s="180"/>
      <c r="BG65" s="180"/>
      <c r="BH65" s="180"/>
      <c r="BI65" s="180"/>
      <c r="BJ65" s="180"/>
      <c r="BK65" s="180"/>
      <c r="BL65" s="180"/>
      <c r="BM65" s="180"/>
      <c r="BN65" s="180"/>
      <c r="BO65" s="181"/>
      <c r="BP65" s="181"/>
      <c r="BQ65" s="181"/>
      <c r="BR65" s="181"/>
      <c r="BS65" s="181"/>
      <c r="BT65" s="181"/>
      <c r="BU65" s="181"/>
      <c r="BV65" s="181"/>
      <c r="BW65" s="181"/>
      <c r="BX65" s="181"/>
      <c r="BY65" s="181"/>
      <c r="BZ65" s="181"/>
      <c r="CA65" s="181"/>
      <c r="CB65" s="181"/>
      <c r="CC65" s="181"/>
      <c r="CD65" s="181"/>
      <c r="CE65" s="181"/>
      <c r="CF65" s="190"/>
      <c r="CG65" s="182"/>
      <c r="CH65" s="182"/>
      <c r="CI65" s="182"/>
      <c r="CJ65" s="182"/>
      <c r="CK65" s="178"/>
      <c r="CL65" s="178"/>
      <c r="CM65" s="178"/>
      <c r="CN65" s="178"/>
      <c r="CO65" s="178"/>
      <c r="CP65" s="178"/>
      <c r="CQ65" s="178"/>
      <c r="CR65" s="178"/>
      <c r="CS65" s="178"/>
      <c r="CT65" s="178"/>
      <c r="CU65" s="44"/>
      <c r="CV65" s="44"/>
      <c r="CW65" s="44"/>
      <c r="CX65" s="44"/>
      <c r="CY65" s="44"/>
      <c r="CZ65" s="44"/>
      <c r="DA65" s="44"/>
      <c r="DB65" s="44"/>
      <c r="DC65" s="67"/>
      <c r="DD65" s="45"/>
      <c r="DE65" s="45"/>
      <c r="DF65" s="45"/>
      <c r="DG65" s="45"/>
      <c r="DH65" s="45"/>
      <c r="DI65" s="45"/>
      <c r="DJ65" s="45"/>
      <c r="DK65" s="45"/>
      <c r="DL65" s="45"/>
      <c r="DM65" s="45"/>
      <c r="DN65" s="45"/>
      <c r="DO65" s="44"/>
      <c r="DP65" s="44"/>
      <c r="DQ65" s="44"/>
      <c r="DR65" s="44"/>
      <c r="DS65" s="62"/>
    </row>
    <row r="66" spans="2:125" ht="30" x14ac:dyDescent="0.25">
      <c r="B66" s="1" t="str">
        <f>Base!I56</f>
        <v>502 réalisation des tests d'intégration</v>
      </c>
      <c r="C66" s="64"/>
      <c r="D66" s="39"/>
      <c r="E66" s="39"/>
      <c r="F66" s="39"/>
      <c r="G66" s="39"/>
      <c r="H66" s="39"/>
      <c r="I66" s="39"/>
      <c r="J66" s="39"/>
      <c r="K66" s="39"/>
      <c r="L66" s="39"/>
      <c r="M66" s="39"/>
      <c r="N66" s="39"/>
      <c r="O66" s="38"/>
      <c r="P66" s="38"/>
      <c r="Q66" s="38"/>
      <c r="R66" s="38"/>
      <c r="S66" s="38"/>
      <c r="T66" s="38"/>
      <c r="U66" s="38"/>
      <c r="V66" s="38"/>
      <c r="W66" s="38"/>
      <c r="X66" s="38"/>
      <c r="Y66" s="38"/>
      <c r="Z66" s="38"/>
      <c r="AA66" s="38"/>
      <c r="AB66" s="38"/>
      <c r="AC66" s="38"/>
      <c r="AD66" s="38"/>
      <c r="AE66" s="38"/>
      <c r="AF66" s="38"/>
      <c r="AG66" s="64"/>
      <c r="AH66" s="39"/>
      <c r="AI66" s="39"/>
      <c r="AJ66" s="39"/>
      <c r="AK66" s="39"/>
      <c r="AL66" s="39"/>
      <c r="AM66" s="39"/>
      <c r="AN66" s="39"/>
      <c r="AO66" s="39"/>
      <c r="AP66" s="39"/>
      <c r="AQ66" s="39"/>
      <c r="AR66" s="39"/>
      <c r="AS66" s="38"/>
      <c r="AT66" s="38"/>
      <c r="AU66" s="38"/>
      <c r="AV66" s="38"/>
      <c r="AW66" s="38"/>
      <c r="AX66" s="38"/>
      <c r="AY66" s="38"/>
      <c r="AZ66" s="38"/>
      <c r="BA66" s="38"/>
      <c r="BB66" s="38"/>
      <c r="BC66" s="160"/>
      <c r="BD66" s="161"/>
      <c r="BE66" s="161"/>
      <c r="BF66" s="161"/>
      <c r="BG66" s="161"/>
      <c r="BH66" s="161"/>
      <c r="BI66" s="161"/>
      <c r="BJ66" s="161"/>
      <c r="BK66" s="161"/>
      <c r="BL66" s="161"/>
      <c r="BM66" s="161"/>
      <c r="BN66" s="161"/>
      <c r="BO66" s="162"/>
      <c r="BP66" s="162"/>
      <c r="BQ66" s="162"/>
      <c r="BR66" s="162"/>
      <c r="BS66" s="162"/>
      <c r="BT66" s="162"/>
      <c r="BU66" s="162"/>
      <c r="BV66" s="162"/>
      <c r="BW66" s="162"/>
      <c r="BX66" s="162"/>
      <c r="BY66" s="162"/>
      <c r="BZ66" s="162"/>
      <c r="CA66" s="162"/>
      <c r="CB66" s="162"/>
      <c r="CC66" s="162"/>
      <c r="CD66" s="162"/>
      <c r="CE66" s="162"/>
      <c r="CF66" s="163"/>
      <c r="CG66" s="161"/>
      <c r="CH66" s="161"/>
      <c r="CI66" s="161"/>
      <c r="CJ66" s="161"/>
      <c r="CK66" s="162"/>
      <c r="CL66" s="162"/>
      <c r="CM66" s="162"/>
      <c r="CN66" s="162"/>
      <c r="CO66" s="162"/>
      <c r="CP66" s="162"/>
      <c r="CQ66" s="162"/>
      <c r="CR66" s="162"/>
      <c r="CS66" s="162"/>
      <c r="CT66" s="162"/>
      <c r="CU66" s="162"/>
      <c r="CV66" s="162"/>
      <c r="CW66" s="162"/>
      <c r="CX66" s="162"/>
      <c r="CY66" s="162"/>
      <c r="CZ66" s="162"/>
      <c r="DA66" s="162"/>
      <c r="DB66" s="162"/>
      <c r="DC66" s="64"/>
      <c r="DD66" s="39"/>
      <c r="DE66" s="39"/>
      <c r="DF66" s="39"/>
      <c r="DG66" s="39"/>
      <c r="DH66" s="39"/>
      <c r="DI66" s="39"/>
      <c r="DJ66" s="39"/>
      <c r="DK66" s="39"/>
      <c r="DL66" s="39"/>
      <c r="DM66" s="39"/>
      <c r="DN66" s="39"/>
      <c r="DO66" s="38"/>
      <c r="DP66" s="38"/>
      <c r="DQ66" s="38"/>
      <c r="DR66" s="38"/>
      <c r="DS66" s="60"/>
    </row>
    <row r="67" spans="2:125" ht="15" customHeight="1" x14ac:dyDescent="0.25">
      <c r="B67" s="1" t="str">
        <f>Base!I57</f>
        <v>503 réalisation des tests fonctionnels</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0"/>
      <c r="BD67" s="161"/>
      <c r="BE67" s="161"/>
      <c r="BF67" s="161"/>
      <c r="BG67" s="161"/>
      <c r="BH67" s="161"/>
      <c r="BI67" s="161"/>
      <c r="BJ67" s="161"/>
      <c r="BK67" s="161"/>
      <c r="BL67" s="161"/>
      <c r="BM67" s="161"/>
      <c r="BN67" s="161"/>
      <c r="BO67" s="162"/>
      <c r="BP67" s="162"/>
      <c r="BQ67" s="162"/>
      <c r="BR67" s="162"/>
      <c r="BS67" s="162"/>
      <c r="BT67" s="162"/>
      <c r="BU67" s="162"/>
      <c r="BV67" s="162"/>
      <c r="BW67" s="162"/>
      <c r="BX67" s="162"/>
      <c r="BY67" s="162"/>
      <c r="BZ67" s="162"/>
      <c r="CA67" s="162"/>
      <c r="CB67" s="162"/>
      <c r="CC67" s="162"/>
      <c r="CD67" s="162"/>
      <c r="CE67" s="162"/>
      <c r="CF67" s="163"/>
      <c r="CG67" s="161"/>
      <c r="CH67" s="161"/>
      <c r="CI67" s="161"/>
      <c r="CJ67" s="161"/>
      <c r="CK67" s="162"/>
      <c r="CL67" s="162"/>
      <c r="CM67" s="162"/>
      <c r="CN67" s="162"/>
      <c r="CO67" s="162"/>
      <c r="CP67" s="162"/>
      <c r="CQ67" s="162"/>
      <c r="CR67" s="162"/>
      <c r="CS67" s="162"/>
      <c r="CT67" s="162"/>
      <c r="CU67" s="162"/>
      <c r="CV67" s="162"/>
      <c r="CW67" s="162"/>
      <c r="CX67" s="162"/>
      <c r="CY67" s="162"/>
      <c r="CZ67" s="162"/>
      <c r="DA67" s="162"/>
      <c r="DB67" s="162"/>
      <c r="DC67" s="160"/>
      <c r="DD67" s="161"/>
      <c r="DE67" s="161"/>
      <c r="DF67" s="161"/>
      <c r="DG67" s="161"/>
      <c r="DH67" s="39"/>
      <c r="DI67" s="39"/>
      <c r="DJ67" s="39"/>
      <c r="DK67" s="39"/>
      <c r="DL67" s="39"/>
      <c r="DM67" s="39"/>
      <c r="DN67" s="39"/>
      <c r="DO67" s="38"/>
      <c r="DP67" s="38"/>
      <c r="DQ67" s="38"/>
      <c r="DR67" s="38"/>
      <c r="DS67" s="60"/>
    </row>
    <row r="68" spans="2:125" ht="30" x14ac:dyDescent="0.25">
      <c r="B68" s="1" t="str">
        <f>Base!I58</f>
        <v>504 mise en forme des résultats des tests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162"/>
      <c r="AX68" s="162"/>
      <c r="AY68" s="162"/>
      <c r="AZ68" s="162"/>
      <c r="BA68" s="162"/>
      <c r="BB68" s="162"/>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162"/>
      <c r="CV68" s="162"/>
      <c r="CW68" s="162"/>
      <c r="CX68" s="162"/>
      <c r="CY68" s="162"/>
      <c r="CZ68" s="162"/>
      <c r="DA68" s="162"/>
      <c r="DB68" s="162"/>
      <c r="DC68" s="160"/>
      <c r="DD68" s="161"/>
      <c r="DE68" s="161"/>
      <c r="DF68" s="161"/>
      <c r="DG68" s="161"/>
      <c r="DH68" s="155"/>
      <c r="DI68" s="155"/>
      <c r="DJ68" s="155"/>
      <c r="DK68" s="39"/>
      <c r="DL68" s="39"/>
      <c r="DM68" s="39"/>
      <c r="DN68" s="39"/>
      <c r="DO68" s="38"/>
      <c r="DP68" s="38"/>
      <c r="DQ68" s="38"/>
      <c r="DR68" s="38"/>
      <c r="DS68" s="60"/>
    </row>
    <row r="69" spans="2:125" x14ac:dyDescent="0.25">
      <c r="B69" s="1" t="str">
        <f>Base!I59</f>
        <v>505 -</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38"/>
      <c r="AX69" s="38"/>
      <c r="AY69" s="38"/>
      <c r="AZ69" s="38"/>
      <c r="BA69" s="38"/>
      <c r="BB69" s="38"/>
      <c r="BC69" s="64"/>
      <c r="BD69" s="39"/>
      <c r="BE69" s="39"/>
      <c r="BF69" s="39"/>
      <c r="BG69" s="39"/>
      <c r="BH69" s="39"/>
      <c r="BI69" s="39"/>
      <c r="BJ69" s="39"/>
      <c r="BK69" s="39"/>
      <c r="BL69" s="39"/>
      <c r="BM69" s="39"/>
      <c r="BN69" s="39"/>
      <c r="BO69" s="38"/>
      <c r="BP69" s="38"/>
      <c r="BQ69" s="38"/>
      <c r="BR69" s="38"/>
      <c r="BS69" s="38"/>
      <c r="BT69" s="38"/>
      <c r="BU69" s="38"/>
      <c r="BV69" s="38"/>
      <c r="BW69" s="38"/>
      <c r="BX69" s="38"/>
      <c r="BY69" s="38"/>
      <c r="BZ69" s="38"/>
      <c r="CA69" s="38"/>
      <c r="CB69" s="38"/>
      <c r="CC69" s="38"/>
      <c r="CD69" s="38"/>
      <c r="CE69" s="38"/>
      <c r="CF69" s="60"/>
      <c r="CG69" s="39"/>
      <c r="CH69" s="39"/>
      <c r="CI69" s="39"/>
      <c r="CJ69" s="39"/>
      <c r="CK69" s="38"/>
      <c r="CL69" s="38"/>
      <c r="CM69" s="38"/>
      <c r="CN69" s="38"/>
      <c r="CO69" s="38"/>
      <c r="CP69" s="38"/>
      <c r="CQ69" s="38"/>
      <c r="CR69" s="38"/>
      <c r="CS69" s="38"/>
      <c r="CT69" s="38"/>
      <c r="CU69" s="38"/>
      <c r="CV69" s="38"/>
      <c r="CW69" s="38"/>
      <c r="CX69" s="38"/>
      <c r="CY69" s="38"/>
      <c r="CZ69" s="38"/>
      <c r="DA69" s="38"/>
      <c r="DB69" s="38"/>
      <c r="DC69" s="64"/>
      <c r="DD69" s="39"/>
      <c r="DE69" s="39"/>
      <c r="DF69" s="39"/>
      <c r="DG69" s="39"/>
      <c r="DH69" s="39"/>
      <c r="DI69" s="39"/>
      <c r="DJ69" s="39"/>
      <c r="DK69" s="39"/>
      <c r="DL69" s="39"/>
      <c r="DM69" s="39"/>
      <c r="DN69" s="39"/>
      <c r="DO69" s="38"/>
      <c r="DP69" s="38"/>
      <c r="DQ69" s="38"/>
      <c r="DR69" s="38"/>
      <c r="DS69" s="60"/>
    </row>
    <row r="70" spans="2:125" ht="15.75" thickBot="1" x14ac:dyDescent="0.3">
      <c r="B70" s="14" t="str">
        <f>Base!I60</f>
        <v>506 -</v>
      </c>
      <c r="C70" s="65"/>
      <c r="D70" s="59"/>
      <c r="E70" s="59"/>
      <c r="F70" s="59"/>
      <c r="G70" s="59"/>
      <c r="H70" s="59"/>
      <c r="I70" s="59"/>
      <c r="J70" s="59"/>
      <c r="K70" s="59"/>
      <c r="L70" s="59"/>
      <c r="M70" s="59"/>
      <c r="N70" s="59"/>
      <c r="O70" s="58"/>
      <c r="P70" s="58"/>
      <c r="Q70" s="58"/>
      <c r="R70" s="58"/>
      <c r="S70" s="58"/>
      <c r="T70" s="58"/>
      <c r="U70" s="58"/>
      <c r="V70" s="58"/>
      <c r="W70" s="58"/>
      <c r="X70" s="58"/>
      <c r="Y70" s="58"/>
      <c r="Z70" s="58"/>
      <c r="AA70" s="58"/>
      <c r="AB70" s="58"/>
      <c r="AC70" s="58"/>
      <c r="AD70" s="58"/>
      <c r="AE70" s="58"/>
      <c r="AF70" s="58"/>
      <c r="AG70" s="65"/>
      <c r="AH70" s="59"/>
      <c r="AI70" s="59"/>
      <c r="AJ70" s="59"/>
      <c r="AK70" s="59"/>
      <c r="AL70" s="59"/>
      <c r="AM70" s="59"/>
      <c r="AN70" s="59"/>
      <c r="AO70" s="59"/>
      <c r="AP70" s="59"/>
      <c r="AQ70" s="59"/>
      <c r="AR70" s="59"/>
      <c r="AS70" s="58"/>
      <c r="AT70" s="58"/>
      <c r="AU70" s="58"/>
      <c r="AV70" s="58"/>
      <c r="AW70" s="58"/>
      <c r="AX70" s="58"/>
      <c r="AY70" s="58"/>
      <c r="AZ70" s="58"/>
      <c r="BA70" s="58"/>
      <c r="BB70" s="58"/>
      <c r="BC70" s="65"/>
      <c r="BD70" s="59"/>
      <c r="BE70" s="59"/>
      <c r="BF70" s="59"/>
      <c r="BG70" s="59"/>
      <c r="BH70" s="59"/>
      <c r="BI70" s="59"/>
      <c r="BJ70" s="59"/>
      <c r="BK70" s="59"/>
      <c r="BL70" s="59"/>
      <c r="BM70" s="59"/>
      <c r="BN70" s="59"/>
      <c r="BO70" s="58"/>
      <c r="BP70" s="58"/>
      <c r="BQ70" s="58"/>
      <c r="BR70" s="58"/>
      <c r="BS70" s="58"/>
      <c r="BT70" s="58"/>
      <c r="BU70" s="58"/>
      <c r="BV70" s="58"/>
      <c r="BW70" s="58"/>
      <c r="BX70" s="58"/>
      <c r="BY70" s="58"/>
      <c r="BZ70" s="58"/>
      <c r="CA70" s="58"/>
      <c r="CB70" s="58"/>
      <c r="CC70" s="58"/>
      <c r="CD70" s="58"/>
      <c r="CE70" s="58"/>
      <c r="CF70" s="63"/>
      <c r="CG70" s="59"/>
      <c r="CH70" s="59"/>
      <c r="CI70" s="59"/>
      <c r="CJ70" s="59"/>
      <c r="CK70" s="58"/>
      <c r="CL70" s="58"/>
      <c r="CM70" s="58"/>
      <c r="CN70" s="58"/>
      <c r="CO70" s="58"/>
      <c r="CP70" s="58"/>
      <c r="CQ70" s="58"/>
      <c r="CR70" s="58"/>
      <c r="CS70" s="58"/>
      <c r="CT70" s="58"/>
      <c r="CU70" s="58"/>
      <c r="CV70" s="58"/>
      <c r="CW70" s="58"/>
      <c r="CX70" s="58"/>
      <c r="CY70" s="58"/>
      <c r="CZ70" s="58"/>
      <c r="DA70" s="58"/>
      <c r="DB70" s="58"/>
      <c r="DC70" s="65"/>
      <c r="DD70" s="59"/>
      <c r="DE70" s="59"/>
      <c r="DF70" s="59"/>
      <c r="DG70" s="59"/>
      <c r="DH70" s="59"/>
      <c r="DI70" s="59"/>
      <c r="DJ70" s="59"/>
      <c r="DK70" s="59"/>
      <c r="DL70" s="59"/>
      <c r="DM70" s="59"/>
      <c r="DN70" s="59"/>
      <c r="DO70" s="58"/>
      <c r="DP70" s="58"/>
      <c r="DQ70" s="58"/>
      <c r="DR70" s="58"/>
      <c r="DS70" s="63"/>
    </row>
    <row r="71" spans="2:125" ht="15" customHeight="1" x14ac:dyDescent="0.25">
      <c r="B71" s="218" t="str">
        <f>Base!H61</f>
        <v>Réunion</v>
      </c>
      <c r="C71" s="121"/>
      <c r="D71" s="122"/>
      <c r="E71" s="122"/>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22"/>
      <c r="AR71" s="122"/>
      <c r="AS71" s="122"/>
      <c r="AT71" s="122"/>
      <c r="AU71" s="122"/>
      <c r="AV71" s="122"/>
      <c r="AW71" s="122"/>
      <c r="AX71" s="122"/>
      <c r="AY71" s="122"/>
      <c r="AZ71" s="122"/>
      <c r="BA71" s="122"/>
      <c r="BB71" s="122"/>
      <c r="BC71" s="122"/>
      <c r="BD71" s="122"/>
      <c r="BE71" s="122"/>
      <c r="BF71" s="122"/>
      <c r="BG71" s="122"/>
      <c r="BH71" s="122"/>
      <c r="BI71" s="122"/>
      <c r="BJ71" s="122"/>
      <c r="BK71" s="122"/>
      <c r="BL71" s="122"/>
      <c r="BM71" s="122"/>
      <c r="BN71" s="122"/>
      <c r="BO71" s="122"/>
      <c r="BP71" s="122"/>
      <c r="BQ71" s="122"/>
      <c r="BR71" s="122"/>
      <c r="BS71" s="122"/>
      <c r="BT71" s="122"/>
      <c r="BU71" s="122"/>
      <c r="BV71" s="122"/>
      <c r="BW71" s="122"/>
      <c r="BX71" s="122"/>
      <c r="BY71" s="122"/>
      <c r="BZ71" s="122"/>
      <c r="CA71" s="122"/>
      <c r="CB71" s="122"/>
      <c r="CC71" s="122"/>
      <c r="CD71" s="122"/>
      <c r="CE71" s="122"/>
      <c r="CF71" s="122"/>
      <c r="CG71" s="122"/>
      <c r="CH71" s="122"/>
      <c r="CI71" s="122"/>
      <c r="CJ71" s="122"/>
      <c r="CK71" s="122"/>
      <c r="CL71" s="122"/>
      <c r="CM71" s="122"/>
      <c r="CN71" s="122"/>
      <c r="CO71" s="122"/>
      <c r="CP71" s="122"/>
      <c r="CQ71" s="122"/>
      <c r="CR71" s="122"/>
      <c r="CS71" s="122"/>
      <c r="CT71" s="122"/>
      <c r="CU71" s="122"/>
      <c r="CV71" s="122"/>
      <c r="CW71" s="122"/>
      <c r="CX71" s="122"/>
      <c r="CY71" s="122"/>
      <c r="CZ71" s="122"/>
      <c r="DA71" s="122"/>
      <c r="DB71" s="122"/>
      <c r="DC71" s="122"/>
      <c r="DD71" s="122"/>
      <c r="DE71" s="122"/>
      <c r="DF71" s="122"/>
      <c r="DG71" s="122"/>
      <c r="DH71" s="122"/>
      <c r="DI71" s="122"/>
      <c r="DJ71" s="122"/>
      <c r="DK71" s="122"/>
      <c r="DL71" s="122"/>
      <c r="DM71" s="122"/>
      <c r="DN71" s="122"/>
      <c r="DO71" s="122"/>
      <c r="DP71" s="122"/>
      <c r="DQ71" s="122"/>
      <c r="DR71" s="122"/>
      <c r="DS71" s="123"/>
    </row>
    <row r="72" spans="2:125" ht="15.75" customHeight="1" thickBot="1" x14ac:dyDescent="0.3">
      <c r="B72" s="219"/>
      <c r="C72" s="124"/>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25"/>
      <c r="BB72" s="125"/>
      <c r="BC72" s="125"/>
      <c r="BD72" s="125"/>
      <c r="BE72" s="125"/>
      <c r="BF72" s="125"/>
      <c r="BG72" s="125"/>
      <c r="BH72" s="125"/>
      <c r="BI72" s="125"/>
      <c r="BJ72" s="125"/>
      <c r="BK72" s="125"/>
      <c r="BL72" s="125"/>
      <c r="BM72" s="125"/>
      <c r="BN72" s="125"/>
      <c r="BO72" s="125"/>
      <c r="BP72" s="125"/>
      <c r="BQ72" s="125"/>
      <c r="BR72" s="125"/>
      <c r="BS72" s="125"/>
      <c r="BT72" s="125"/>
      <c r="BU72" s="125"/>
      <c r="BV72" s="125"/>
      <c r="BW72" s="125"/>
      <c r="BX72" s="125"/>
      <c r="BY72" s="125"/>
      <c r="BZ72" s="125"/>
      <c r="CA72" s="125"/>
      <c r="CB72" s="125"/>
      <c r="CC72" s="125"/>
      <c r="CD72" s="125"/>
      <c r="CE72" s="125"/>
      <c r="CF72" s="125"/>
      <c r="CG72" s="125"/>
      <c r="CH72" s="125"/>
      <c r="CI72" s="125"/>
      <c r="CJ72" s="125"/>
      <c r="CK72" s="125"/>
      <c r="CL72" s="125"/>
      <c r="CM72" s="125"/>
      <c r="CN72" s="125"/>
      <c r="CO72" s="125"/>
      <c r="CP72" s="125"/>
      <c r="CQ72" s="125"/>
      <c r="CR72" s="125"/>
      <c r="CS72" s="125"/>
      <c r="CT72" s="125"/>
      <c r="CU72" s="125"/>
      <c r="CV72" s="125"/>
      <c r="CW72" s="125"/>
      <c r="CX72" s="125"/>
      <c r="CY72" s="125"/>
      <c r="CZ72" s="125"/>
      <c r="DA72" s="125"/>
      <c r="DB72" s="125"/>
      <c r="DC72" s="125"/>
      <c r="DD72" s="125"/>
      <c r="DE72" s="125"/>
      <c r="DF72" s="125"/>
      <c r="DG72" s="125"/>
      <c r="DH72" s="125"/>
      <c r="DI72" s="125"/>
      <c r="DJ72" s="125"/>
      <c r="DK72" s="125"/>
      <c r="DL72" s="125"/>
      <c r="DM72" s="125"/>
      <c r="DN72" s="125"/>
      <c r="DO72" s="125"/>
      <c r="DP72" s="125"/>
      <c r="DQ72" s="125"/>
      <c r="DR72" s="125"/>
      <c r="DS72" s="126"/>
    </row>
    <row r="73" spans="2:125" ht="30" x14ac:dyDescent="0.25">
      <c r="B73" s="127" t="str">
        <f>Base!I61</f>
        <v>601 réunion avec monsieur C.Egger, CdP</v>
      </c>
      <c r="C73" s="151"/>
      <c r="D73" s="45"/>
      <c r="E73" s="45"/>
      <c r="F73" s="45"/>
      <c r="G73" s="45"/>
      <c r="H73" s="45"/>
      <c r="I73" s="45"/>
      <c r="J73" s="45"/>
      <c r="K73" s="45"/>
      <c r="L73" s="45"/>
      <c r="M73" s="45"/>
      <c r="N73" s="45"/>
      <c r="O73" s="44"/>
      <c r="P73" s="44"/>
      <c r="Q73" s="44"/>
      <c r="R73" s="44"/>
      <c r="S73" s="44"/>
      <c r="T73" s="44"/>
      <c r="U73" s="44"/>
      <c r="V73" s="44"/>
      <c r="W73" s="44"/>
      <c r="X73" s="44"/>
      <c r="Y73" s="44"/>
      <c r="Z73" s="44"/>
      <c r="AA73" s="44"/>
      <c r="AB73" s="44"/>
      <c r="AC73" s="44"/>
      <c r="AD73" s="44"/>
      <c r="AE73" s="44"/>
      <c r="AF73" s="44"/>
      <c r="AG73" s="67"/>
      <c r="AH73" s="45"/>
      <c r="AI73" s="45"/>
      <c r="AJ73" s="45"/>
      <c r="AK73" s="45"/>
      <c r="AL73" s="45"/>
      <c r="AM73" s="45"/>
      <c r="AN73" s="45"/>
      <c r="AO73" s="45"/>
      <c r="AP73" s="45"/>
      <c r="AQ73" s="45"/>
      <c r="AR73" s="45"/>
      <c r="AS73" s="44"/>
      <c r="AT73" s="44"/>
      <c r="AU73" s="44"/>
      <c r="AV73" s="44"/>
      <c r="AW73" s="44"/>
      <c r="AX73" s="44"/>
      <c r="AY73" s="44"/>
      <c r="AZ73" s="44"/>
      <c r="BA73" s="44"/>
      <c r="BB73" s="44"/>
      <c r="BC73" s="110"/>
      <c r="BD73" s="111"/>
      <c r="BE73" s="111"/>
      <c r="BF73" s="111"/>
      <c r="BG73" s="111"/>
      <c r="BH73" s="111"/>
      <c r="BI73" s="111"/>
      <c r="BJ73" s="111"/>
      <c r="BK73" s="111"/>
      <c r="BL73" s="111"/>
      <c r="BM73" s="111"/>
      <c r="BN73" s="111"/>
      <c r="BO73" s="112"/>
      <c r="BP73" s="112"/>
      <c r="BQ73" s="112"/>
      <c r="BR73" s="112"/>
      <c r="BS73" s="112"/>
      <c r="BT73" s="112"/>
      <c r="BU73" s="112"/>
      <c r="BV73" s="112"/>
      <c r="BW73" s="112"/>
      <c r="BX73" s="112"/>
      <c r="BY73" s="112"/>
      <c r="BZ73" s="112"/>
      <c r="CA73" s="112"/>
      <c r="CB73" s="112"/>
      <c r="CC73" s="112"/>
      <c r="CD73" s="112"/>
      <c r="CE73" s="112"/>
      <c r="CF73" s="185"/>
      <c r="CG73" s="45"/>
      <c r="CH73" s="45"/>
      <c r="CI73" s="45"/>
      <c r="CJ73" s="45"/>
      <c r="CK73" s="44"/>
      <c r="CL73" s="44"/>
      <c r="CM73" s="44"/>
      <c r="CN73" s="44"/>
      <c r="CO73" s="44"/>
      <c r="CP73" s="44"/>
      <c r="CQ73" s="44"/>
      <c r="CR73" s="44"/>
      <c r="CS73" s="44"/>
      <c r="CT73" s="44"/>
      <c r="CU73" s="44"/>
      <c r="CV73" s="44"/>
      <c r="CW73" s="44"/>
      <c r="CX73" s="44"/>
      <c r="CY73" s="44"/>
      <c r="CZ73" s="44"/>
      <c r="DA73" s="44"/>
      <c r="DB73" s="44"/>
      <c r="DC73" s="67"/>
      <c r="DD73" s="45"/>
      <c r="DE73" s="45"/>
      <c r="DF73" s="45"/>
      <c r="DG73" s="45"/>
      <c r="DH73" s="45"/>
      <c r="DI73" s="45"/>
      <c r="DJ73" s="45"/>
      <c r="DK73" s="45"/>
      <c r="DL73" s="45"/>
      <c r="DM73" s="45"/>
      <c r="DN73" s="45"/>
      <c r="DO73" s="44"/>
      <c r="DP73" s="44"/>
      <c r="DQ73" s="44"/>
      <c r="DR73" s="44"/>
      <c r="DS73" s="62"/>
    </row>
    <row r="74" spans="2:125" ht="30" x14ac:dyDescent="0.25">
      <c r="B74" s="128" t="str">
        <f>Base!I62</f>
        <v>602 réunion avec monsieur G.Gruaz, expert 1</v>
      </c>
      <c r="C74" s="152"/>
      <c r="D74" s="39"/>
      <c r="E74" s="39"/>
      <c r="F74" s="39"/>
      <c r="G74" s="39"/>
      <c r="H74" s="39"/>
      <c r="I74" s="39"/>
      <c r="J74" s="39"/>
      <c r="K74" s="39"/>
      <c r="L74" s="39"/>
      <c r="M74" s="39"/>
      <c r="N74" s="39"/>
      <c r="O74" s="38"/>
      <c r="P74" s="38"/>
      <c r="Q74" s="38"/>
      <c r="R74" s="38"/>
      <c r="S74" s="38"/>
      <c r="T74" s="38"/>
      <c r="U74" s="38"/>
      <c r="V74" s="38"/>
      <c r="W74" s="38"/>
      <c r="X74" s="38"/>
      <c r="Y74" s="38"/>
      <c r="Z74" s="38"/>
      <c r="AA74" s="38"/>
      <c r="AB74" s="38"/>
      <c r="AC74" s="38"/>
      <c r="AD74" s="38"/>
      <c r="AE74" s="38"/>
      <c r="AF74" s="38"/>
      <c r="AG74" s="64"/>
      <c r="AH74" s="39"/>
      <c r="AI74" s="39"/>
      <c r="AJ74" s="39"/>
      <c r="AK74" s="39"/>
      <c r="AL74" s="39"/>
      <c r="AM74" s="39"/>
      <c r="AN74" s="39"/>
      <c r="AO74" s="39"/>
      <c r="AP74" s="39"/>
      <c r="AQ74" s="39"/>
      <c r="AR74" s="39"/>
      <c r="AS74" s="38"/>
      <c r="AT74" s="38"/>
      <c r="AU74" s="38"/>
      <c r="AV74" s="38"/>
      <c r="AW74" s="38"/>
      <c r="AX74" s="38"/>
      <c r="AY74" s="38"/>
      <c r="AZ74" s="38"/>
      <c r="BA74" s="38"/>
      <c r="BB74" s="38"/>
      <c r="BC74" s="64"/>
      <c r="BD74" s="39"/>
      <c r="BE74" s="39"/>
      <c r="BF74" s="39"/>
      <c r="BG74" s="39"/>
      <c r="BH74" s="39"/>
      <c r="BI74" s="39"/>
      <c r="BJ74" s="39"/>
      <c r="BK74" s="39"/>
      <c r="BL74" s="39"/>
      <c r="BM74" s="39"/>
      <c r="BN74" s="39"/>
      <c r="BO74" s="38"/>
      <c r="BP74" s="38"/>
      <c r="BQ74" s="38"/>
      <c r="BR74" s="38"/>
      <c r="BS74" s="38"/>
      <c r="BT74" s="38"/>
      <c r="BU74" s="38"/>
      <c r="BV74" s="38"/>
      <c r="BW74" s="38"/>
      <c r="BX74" s="38"/>
      <c r="BY74" s="38"/>
      <c r="BZ74" s="38"/>
      <c r="CA74" s="38"/>
      <c r="CB74" s="38"/>
      <c r="CC74" s="38"/>
      <c r="CD74" s="38"/>
      <c r="CE74" s="38"/>
      <c r="CF74" s="60"/>
      <c r="CG74" s="39"/>
      <c r="CH74" s="39"/>
      <c r="CI74" s="39"/>
      <c r="CJ74" s="39"/>
      <c r="CK74" s="38"/>
      <c r="CL74" s="38"/>
      <c r="CM74" s="38"/>
      <c r="CN74" s="38"/>
      <c r="CO74" s="38"/>
      <c r="CP74" s="38"/>
      <c r="CQ74" s="38"/>
      <c r="CR74" s="38"/>
      <c r="CS74" s="38"/>
      <c r="CT74" s="38"/>
      <c r="CU74" s="38"/>
      <c r="CV74" s="38"/>
      <c r="CW74" s="38"/>
      <c r="CX74" s="38"/>
      <c r="CY74" s="38"/>
      <c r="CZ74" s="38"/>
      <c r="DA74" s="38"/>
      <c r="DB74" s="38"/>
      <c r="DC74" s="64"/>
      <c r="DD74" s="39"/>
      <c r="DE74" s="39"/>
      <c r="DF74" s="39"/>
      <c r="DG74" s="39"/>
      <c r="DH74" s="39"/>
      <c r="DI74" s="39"/>
      <c r="DJ74" s="39"/>
      <c r="DK74" s="39"/>
      <c r="DL74" s="39"/>
      <c r="DM74" s="39"/>
      <c r="DN74" s="39"/>
      <c r="DO74" s="38"/>
      <c r="DP74" s="38"/>
      <c r="DQ74" s="38"/>
      <c r="DR74" s="38"/>
      <c r="DS74" s="60"/>
    </row>
    <row r="75" spans="2:125" ht="15" customHeight="1" x14ac:dyDescent="0.25">
      <c r="B75" s="128" t="str">
        <f>Base!I63</f>
        <v>603 réunion avec monsieur O.Rutz, expert 2</v>
      </c>
      <c r="C75" s="64"/>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30" x14ac:dyDescent="0.25">
      <c r="B76" s="128" t="str">
        <f>Base!I64</f>
        <v>604 réunion avec une personne extérieure</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x14ac:dyDescent="0.25">
      <c r="B77" s="128" t="str">
        <f>Base!I65</f>
        <v>605 -</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ht="15.75" thickBot="1" x14ac:dyDescent="0.3">
      <c r="B78" s="129" t="str">
        <f>Base!I66</f>
        <v>606 -</v>
      </c>
      <c r="C78" s="65"/>
      <c r="D78" s="59"/>
      <c r="E78" s="59"/>
      <c r="F78" s="59"/>
      <c r="G78" s="59"/>
      <c r="H78" s="59"/>
      <c r="I78" s="59"/>
      <c r="J78" s="59"/>
      <c r="K78" s="59"/>
      <c r="L78" s="59"/>
      <c r="M78" s="59"/>
      <c r="N78" s="59"/>
      <c r="O78" s="58"/>
      <c r="P78" s="58"/>
      <c r="Q78" s="58"/>
      <c r="R78" s="58"/>
      <c r="S78" s="58"/>
      <c r="T78" s="58"/>
      <c r="U78" s="58"/>
      <c r="V78" s="58"/>
      <c r="W78" s="58"/>
      <c r="X78" s="58"/>
      <c r="Y78" s="58"/>
      <c r="Z78" s="58"/>
      <c r="AA78" s="58"/>
      <c r="AB78" s="58"/>
      <c r="AC78" s="58"/>
      <c r="AD78" s="58"/>
      <c r="AE78" s="58"/>
      <c r="AF78" s="58"/>
      <c r="AG78" s="65"/>
      <c r="AH78" s="59"/>
      <c r="AI78" s="59"/>
      <c r="AJ78" s="59"/>
      <c r="AK78" s="59"/>
      <c r="AL78" s="59"/>
      <c r="AM78" s="59"/>
      <c r="AN78" s="59"/>
      <c r="AO78" s="59"/>
      <c r="AP78" s="59"/>
      <c r="AQ78" s="59"/>
      <c r="AR78" s="59"/>
      <c r="AS78" s="58"/>
      <c r="AT78" s="58"/>
      <c r="AU78" s="58"/>
      <c r="AV78" s="58"/>
      <c r="AW78" s="58"/>
      <c r="AX78" s="58"/>
      <c r="AY78" s="58"/>
      <c r="AZ78" s="58"/>
      <c r="BA78" s="58"/>
      <c r="BB78" s="58"/>
      <c r="BC78" s="65"/>
      <c r="BD78" s="59"/>
      <c r="BE78" s="59"/>
      <c r="BF78" s="59"/>
      <c r="BG78" s="59"/>
      <c r="BH78" s="59"/>
      <c r="BI78" s="59"/>
      <c r="BJ78" s="59"/>
      <c r="BK78" s="59"/>
      <c r="BL78" s="59"/>
      <c r="BM78" s="59"/>
      <c r="BN78" s="59"/>
      <c r="BO78" s="58"/>
      <c r="BP78" s="58"/>
      <c r="BQ78" s="58"/>
      <c r="BR78" s="58"/>
      <c r="BS78" s="58"/>
      <c r="BT78" s="58"/>
      <c r="BU78" s="58"/>
      <c r="BV78" s="58"/>
      <c r="BW78" s="58"/>
      <c r="BX78" s="58"/>
      <c r="BY78" s="58"/>
      <c r="BZ78" s="58"/>
      <c r="CA78" s="58"/>
      <c r="CB78" s="58"/>
      <c r="CC78" s="58"/>
      <c r="CD78" s="58"/>
      <c r="CE78" s="58"/>
      <c r="CF78" s="63"/>
      <c r="CG78" s="59"/>
      <c r="CH78" s="59"/>
      <c r="CI78" s="59"/>
      <c r="CJ78" s="59"/>
      <c r="CK78" s="58"/>
      <c r="CL78" s="58"/>
      <c r="CM78" s="58"/>
      <c r="CN78" s="58"/>
      <c r="CO78" s="58"/>
      <c r="CP78" s="58"/>
      <c r="CQ78" s="58"/>
      <c r="CR78" s="58"/>
      <c r="CS78" s="58"/>
      <c r="CT78" s="58"/>
      <c r="CU78" s="58"/>
      <c r="CV78" s="58"/>
      <c r="CW78" s="58"/>
      <c r="CX78" s="58"/>
      <c r="CY78" s="58"/>
      <c r="CZ78" s="58"/>
      <c r="DA78" s="58"/>
      <c r="DB78" s="58"/>
      <c r="DC78" s="65"/>
      <c r="DD78" s="59"/>
      <c r="DE78" s="59"/>
      <c r="DF78" s="59"/>
      <c r="DG78" s="59"/>
      <c r="DH78" s="59"/>
      <c r="DI78" s="59"/>
      <c r="DJ78" s="59"/>
      <c r="DK78" s="59"/>
      <c r="DL78" s="59"/>
      <c r="DM78" s="59"/>
      <c r="DN78" s="59"/>
      <c r="DO78" s="58"/>
      <c r="DP78" s="58"/>
      <c r="DQ78" s="58"/>
      <c r="DR78" s="58"/>
      <c r="DS78" s="63"/>
    </row>
    <row r="79" spans="2:125" x14ac:dyDescent="0.25">
      <c r="DN79" s="137"/>
      <c r="DO79" s="137"/>
      <c r="DP79" s="137"/>
      <c r="DQ79" s="137"/>
      <c r="DR79" s="137"/>
      <c r="DS79" s="137"/>
      <c r="DT79" s="33"/>
      <c r="DU79" s="33"/>
    </row>
    <row r="80" spans="2:125" x14ac:dyDescent="0.25">
      <c r="C80" s="145"/>
      <c r="D80" s="39"/>
      <c r="G80" s="217" t="s">
        <v>70</v>
      </c>
      <c r="H80" s="217"/>
      <c r="I80" s="217"/>
      <c r="J80" s="217"/>
      <c r="K80" s="217"/>
      <c r="L80" s="217"/>
      <c r="M80" s="217"/>
      <c r="N80" s="217"/>
      <c r="O80" s="217"/>
      <c r="P80" s="217"/>
      <c r="Q80" s="217"/>
      <c r="R80" s="217"/>
      <c r="S80" s="217"/>
      <c r="T80" s="217"/>
      <c r="U80" s="217"/>
      <c r="V80" s="217"/>
      <c r="W80" s="217"/>
      <c r="X80" s="217"/>
      <c r="Y80" s="217"/>
      <c r="Z80" s="217"/>
      <c r="AA80" s="217"/>
      <c r="AB80" s="217"/>
      <c r="AC80" s="217"/>
      <c r="AD80" s="217"/>
      <c r="AE80" s="217"/>
      <c r="AF80" s="217"/>
      <c r="DT80" s="33"/>
      <c r="DU80" s="33"/>
    </row>
    <row r="81" spans="4:125" x14ac:dyDescent="0.25">
      <c r="DT81" s="33"/>
      <c r="DU81" s="33"/>
    </row>
    <row r="82" spans="4:125" x14ac:dyDescent="0.25">
      <c r="D82" s="147"/>
      <c r="G82" s="217" t="s">
        <v>71</v>
      </c>
      <c r="H82" s="217"/>
      <c r="I82" s="217"/>
      <c r="J82" s="217"/>
      <c r="K82" s="217"/>
      <c r="L82" s="217"/>
      <c r="M82" s="217"/>
      <c r="N82" s="217"/>
      <c r="O82" s="217"/>
      <c r="P82" s="217"/>
      <c r="Q82" s="217"/>
      <c r="R82" s="217"/>
      <c r="S82" s="217"/>
      <c r="T82" s="217"/>
      <c r="U82" s="217"/>
      <c r="V82" s="217"/>
      <c r="W82" s="217"/>
      <c r="X82" s="217"/>
      <c r="Y82" s="217"/>
      <c r="Z82" s="217"/>
      <c r="AA82" s="217"/>
      <c r="AB82" s="217"/>
      <c r="AC82" s="217"/>
      <c r="AD82" s="217"/>
      <c r="AE82" s="217"/>
      <c r="AF82" s="217"/>
      <c r="DT82" s="33"/>
      <c r="DU82" s="33"/>
    </row>
    <row r="83" spans="4:125" x14ac:dyDescent="0.25">
      <c r="DT83" s="33"/>
      <c r="DU83" s="33"/>
    </row>
    <row r="84" spans="4:125" x14ac:dyDescent="0.25">
      <c r="DT84" s="33"/>
      <c r="DU84" s="33"/>
    </row>
    <row r="85" spans="4:125" x14ac:dyDescent="0.25">
      <c r="DT85" s="33"/>
      <c r="DU85" s="33"/>
    </row>
    <row r="86" spans="4:125" x14ac:dyDescent="0.25">
      <c r="DT86" s="33"/>
      <c r="DU86" s="33"/>
    </row>
    <row r="87" spans="4:125" x14ac:dyDescent="0.25">
      <c r="DT87" s="33"/>
      <c r="DU87" s="33"/>
    </row>
    <row r="88" spans="4:125" x14ac:dyDescent="0.25">
      <c r="DT88" s="33"/>
      <c r="DU88" s="33"/>
    </row>
    <row r="89" spans="4:125" x14ac:dyDescent="0.25">
      <c r="DT89" s="33"/>
      <c r="DU89" s="33"/>
    </row>
    <row r="90" spans="4:125" x14ac:dyDescent="0.25">
      <c r="DT90" s="33"/>
      <c r="DU90" s="33"/>
    </row>
    <row r="91" spans="4:125" x14ac:dyDescent="0.25">
      <c r="DT91" s="33"/>
      <c r="DU91" s="33"/>
    </row>
    <row r="92" spans="4:125" x14ac:dyDescent="0.25">
      <c r="DT92" s="33"/>
      <c r="DU92" s="33"/>
    </row>
  </sheetData>
  <mergeCells count="31">
    <mergeCell ref="DC3:DS3"/>
    <mergeCell ref="B55:B56"/>
    <mergeCell ref="B63:B64"/>
    <mergeCell ref="C3:AF3"/>
    <mergeCell ref="CG3:DB3"/>
    <mergeCell ref="B12:B13"/>
    <mergeCell ref="B4:B5"/>
    <mergeCell ref="B30:B31"/>
    <mergeCell ref="AG3:BB3"/>
    <mergeCell ref="AT2:BB2"/>
    <mergeCell ref="C2:J2"/>
    <mergeCell ref="K2:O2"/>
    <mergeCell ref="P2:X2"/>
    <mergeCell ref="Y2:AF2"/>
    <mergeCell ref="AG2:AN2"/>
    <mergeCell ref="B1:DS1"/>
    <mergeCell ref="G82:AF82"/>
    <mergeCell ref="G80:AF80"/>
    <mergeCell ref="B71:B72"/>
    <mergeCell ref="DP2:DS2"/>
    <mergeCell ref="CG2:CK2"/>
    <mergeCell ref="CL2:CT2"/>
    <mergeCell ref="CU2:DB2"/>
    <mergeCell ref="DC2:DJ2"/>
    <mergeCell ref="DK2:DO2"/>
    <mergeCell ref="BC2:BJ2"/>
    <mergeCell ref="BK2:BO2"/>
    <mergeCell ref="BP2:BX2"/>
    <mergeCell ref="BY2:CF2"/>
    <mergeCell ref="BC3:CF3"/>
    <mergeCell ref="AO2:AS2"/>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Costa&amp;CGestion de cave à vin&amp;RTPI 2021</oddHeader>
    <oddFooter>&amp;L&amp;D&amp;C&amp;P&amp;RAnnexe A5 : planification initiale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21" zoomScale="70" zoomScaleNormal="70" zoomScaleSheetLayoutView="70" zoomScalePageLayoutView="70" workbookViewId="0">
      <selection activeCell="EB57" sqref="EB57"/>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4">
        <f ca="1">TODAY()</f>
        <v>44347</v>
      </c>
    </row>
    <row r="2" spans="2:129" ht="60.75" customHeight="1" thickBot="1" x14ac:dyDescent="0.3">
      <c r="B2" s="214" t="s">
        <v>158</v>
      </c>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c r="BA2" s="215"/>
      <c r="BB2" s="215"/>
      <c r="BC2" s="215"/>
      <c r="BD2" s="215"/>
      <c r="BE2" s="215"/>
      <c r="BF2" s="215"/>
      <c r="BG2" s="215"/>
      <c r="BH2" s="215"/>
      <c r="BI2" s="215"/>
      <c r="BJ2" s="215"/>
      <c r="BK2" s="215"/>
      <c r="BL2" s="215"/>
      <c r="BM2" s="215"/>
      <c r="BN2" s="215"/>
      <c r="BO2" s="215"/>
      <c r="BP2" s="215"/>
      <c r="BQ2" s="215"/>
      <c r="BR2" s="215"/>
      <c r="BS2" s="215"/>
      <c r="BT2" s="215"/>
      <c r="BU2" s="215"/>
      <c r="BV2" s="215"/>
      <c r="BW2" s="215"/>
      <c r="BX2" s="215"/>
      <c r="BY2" s="215"/>
      <c r="BZ2" s="215"/>
      <c r="CA2" s="215"/>
      <c r="CB2" s="215"/>
      <c r="CC2" s="215"/>
      <c r="CD2" s="215"/>
      <c r="CE2" s="215"/>
      <c r="CF2" s="215"/>
      <c r="CG2" s="215"/>
      <c r="CH2" s="215"/>
      <c r="CI2" s="215"/>
      <c r="CJ2" s="215"/>
      <c r="CK2" s="215"/>
      <c r="CL2" s="215"/>
      <c r="CM2" s="215"/>
      <c r="CN2" s="215"/>
      <c r="CO2" s="215"/>
      <c r="CP2" s="215"/>
      <c r="CQ2" s="215"/>
      <c r="CR2" s="215"/>
      <c r="CS2" s="215"/>
      <c r="CT2" s="215"/>
      <c r="CU2" s="215"/>
      <c r="CV2" s="215"/>
      <c r="CW2" s="215"/>
      <c r="CX2" s="215"/>
      <c r="CY2" s="215"/>
      <c r="CZ2" s="215"/>
      <c r="DA2" s="215"/>
      <c r="DB2" s="215"/>
      <c r="DC2" s="215"/>
      <c r="DD2" s="215"/>
      <c r="DE2" s="215"/>
      <c r="DF2" s="215"/>
      <c r="DG2" s="215"/>
      <c r="DH2" s="215"/>
      <c r="DI2" s="215"/>
      <c r="DJ2" s="215"/>
      <c r="DK2" s="215"/>
      <c r="DL2" s="215"/>
      <c r="DM2" s="215"/>
      <c r="DN2" s="215"/>
      <c r="DO2" s="215"/>
      <c r="DP2" s="215"/>
      <c r="DQ2" s="215"/>
      <c r="DR2" s="215"/>
      <c r="DS2" s="216"/>
    </row>
    <row r="3" spans="2:129" s="99" customFormat="1" ht="62.25" customHeight="1" x14ac:dyDescent="0.5">
      <c r="B3" s="193"/>
      <c r="C3" s="224">
        <f>Base!B6</f>
        <v>44319</v>
      </c>
      <c r="D3" s="221"/>
      <c r="E3" s="221"/>
      <c r="F3" s="221"/>
      <c r="G3" s="221"/>
      <c r="H3" s="221"/>
      <c r="I3" s="221"/>
      <c r="J3" s="223"/>
      <c r="K3" s="220">
        <f>C3+1</f>
        <v>44320</v>
      </c>
      <c r="L3" s="221"/>
      <c r="M3" s="221"/>
      <c r="N3" s="221"/>
      <c r="O3" s="223"/>
      <c r="P3" s="220">
        <f>K3+1</f>
        <v>44321</v>
      </c>
      <c r="Q3" s="221"/>
      <c r="R3" s="221"/>
      <c r="S3" s="221"/>
      <c r="T3" s="221"/>
      <c r="U3" s="221"/>
      <c r="V3" s="221"/>
      <c r="W3" s="221"/>
      <c r="X3" s="223"/>
      <c r="Y3" s="220">
        <f>P3+1</f>
        <v>44322</v>
      </c>
      <c r="Z3" s="221"/>
      <c r="AA3" s="221"/>
      <c r="AB3" s="221"/>
      <c r="AC3" s="221"/>
      <c r="AD3" s="221"/>
      <c r="AE3" s="221"/>
      <c r="AF3" s="223"/>
      <c r="AG3" s="224">
        <v>44326</v>
      </c>
      <c r="AH3" s="221"/>
      <c r="AI3" s="221"/>
      <c r="AJ3" s="221"/>
      <c r="AK3" s="221"/>
      <c r="AL3" s="221"/>
      <c r="AM3" s="221"/>
      <c r="AN3" s="223"/>
      <c r="AO3" s="220">
        <f>AG3+1</f>
        <v>44327</v>
      </c>
      <c r="AP3" s="221"/>
      <c r="AQ3" s="221"/>
      <c r="AR3" s="221"/>
      <c r="AS3" s="223"/>
      <c r="AT3" s="220">
        <f>AO3+1</f>
        <v>44328</v>
      </c>
      <c r="AU3" s="221"/>
      <c r="AV3" s="221"/>
      <c r="AW3" s="221"/>
      <c r="AX3" s="221"/>
      <c r="AY3" s="221"/>
      <c r="AZ3" s="221"/>
      <c r="BA3" s="221"/>
      <c r="BB3" s="223"/>
      <c r="BC3" s="224">
        <f>AT3+5</f>
        <v>44333</v>
      </c>
      <c r="BD3" s="221"/>
      <c r="BE3" s="221"/>
      <c r="BF3" s="221"/>
      <c r="BG3" s="221"/>
      <c r="BH3" s="221"/>
      <c r="BI3" s="221"/>
      <c r="BJ3" s="223"/>
      <c r="BK3" s="220">
        <f>BC3+1</f>
        <v>44334</v>
      </c>
      <c r="BL3" s="221"/>
      <c r="BM3" s="221"/>
      <c r="BN3" s="221"/>
      <c r="BO3" s="223"/>
      <c r="BP3" s="220">
        <f>BK3+1</f>
        <v>44335</v>
      </c>
      <c r="BQ3" s="221"/>
      <c r="BR3" s="221"/>
      <c r="BS3" s="221"/>
      <c r="BT3" s="221"/>
      <c r="BU3" s="221"/>
      <c r="BV3" s="221"/>
      <c r="BW3" s="221"/>
      <c r="BX3" s="223"/>
      <c r="BY3" s="220">
        <f>BP3+1</f>
        <v>44336</v>
      </c>
      <c r="BZ3" s="221"/>
      <c r="CA3" s="221"/>
      <c r="CB3" s="221"/>
      <c r="CC3" s="221"/>
      <c r="CD3" s="221"/>
      <c r="CE3" s="221"/>
      <c r="CF3" s="223"/>
      <c r="CG3" s="220">
        <f>BY3+5</f>
        <v>44341</v>
      </c>
      <c r="CH3" s="221"/>
      <c r="CI3" s="221"/>
      <c r="CJ3" s="221"/>
      <c r="CK3" s="223"/>
      <c r="CL3" s="220">
        <f>CG3+1</f>
        <v>44342</v>
      </c>
      <c r="CM3" s="221"/>
      <c r="CN3" s="221"/>
      <c r="CO3" s="221"/>
      <c r="CP3" s="221"/>
      <c r="CQ3" s="221"/>
      <c r="CR3" s="221"/>
      <c r="CS3" s="221"/>
      <c r="CT3" s="223"/>
      <c r="CU3" s="220">
        <f>CL3+1</f>
        <v>44343</v>
      </c>
      <c r="CV3" s="221"/>
      <c r="CW3" s="221"/>
      <c r="CX3" s="221"/>
      <c r="CY3" s="221"/>
      <c r="CZ3" s="221"/>
      <c r="DA3" s="221"/>
      <c r="DB3" s="223"/>
      <c r="DC3" s="224">
        <f>CU3+4</f>
        <v>44347</v>
      </c>
      <c r="DD3" s="221"/>
      <c r="DE3" s="221"/>
      <c r="DF3" s="221"/>
      <c r="DG3" s="221"/>
      <c r="DH3" s="221"/>
      <c r="DI3" s="221"/>
      <c r="DJ3" s="223"/>
      <c r="DK3" s="220">
        <f>DC3+1</f>
        <v>44348</v>
      </c>
      <c r="DL3" s="221"/>
      <c r="DM3" s="221"/>
      <c r="DN3" s="221"/>
      <c r="DO3" s="223"/>
      <c r="DP3" s="220">
        <f>DK3+1</f>
        <v>44349</v>
      </c>
      <c r="DQ3" s="221"/>
      <c r="DR3" s="221"/>
      <c r="DS3" s="222"/>
      <c r="DT3" s="192"/>
      <c r="DU3" s="192"/>
      <c r="DV3" s="192"/>
      <c r="DW3" s="192"/>
      <c r="DX3" s="192"/>
      <c r="DY3" s="192"/>
    </row>
    <row r="4" spans="2:129" s="15" customFormat="1" ht="19.5" thickBot="1" x14ac:dyDescent="0.3">
      <c r="B4" s="70" t="s">
        <v>8</v>
      </c>
      <c r="C4" s="225">
        <f>_xlfn.ISOWEEKNUM(C3)</f>
        <v>18</v>
      </c>
      <c r="D4" s="225"/>
      <c r="E4" s="225"/>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c r="AE4" s="225"/>
      <c r="AF4" s="225"/>
      <c r="AG4" s="226">
        <f>_xlfn.ISOWEEKNUM(AG3)</f>
        <v>19</v>
      </c>
      <c r="AH4" s="225"/>
      <c r="AI4" s="225"/>
      <c r="AJ4" s="225"/>
      <c r="AK4" s="225"/>
      <c r="AL4" s="225"/>
      <c r="AM4" s="225"/>
      <c r="AN4" s="225"/>
      <c r="AO4" s="225"/>
      <c r="AP4" s="225"/>
      <c r="AQ4" s="225"/>
      <c r="AR4" s="225"/>
      <c r="AS4" s="225"/>
      <c r="AT4" s="225"/>
      <c r="AU4" s="225"/>
      <c r="AV4" s="225"/>
      <c r="AW4" s="225"/>
      <c r="AX4" s="225"/>
      <c r="AY4" s="225"/>
      <c r="AZ4" s="225"/>
      <c r="BA4" s="225"/>
      <c r="BB4" s="225"/>
      <c r="BC4" s="225">
        <f>_xlfn.ISOWEEKNUM(BC3)</f>
        <v>20</v>
      </c>
      <c r="BD4" s="225"/>
      <c r="BE4" s="225"/>
      <c r="BF4" s="225"/>
      <c r="BG4" s="225"/>
      <c r="BH4" s="225"/>
      <c r="BI4" s="225"/>
      <c r="BJ4" s="225"/>
      <c r="BK4" s="225"/>
      <c r="BL4" s="225"/>
      <c r="BM4" s="225"/>
      <c r="BN4" s="225"/>
      <c r="BO4" s="225"/>
      <c r="BP4" s="225"/>
      <c r="BQ4" s="225"/>
      <c r="BR4" s="225"/>
      <c r="BS4" s="225"/>
      <c r="BT4" s="225"/>
      <c r="BU4" s="225"/>
      <c r="BV4" s="225"/>
      <c r="BW4" s="225"/>
      <c r="BX4" s="225"/>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c r="DA4" s="225"/>
      <c r="DB4" s="225"/>
      <c r="DC4" s="226">
        <f>_xlfn.ISOWEEKNUM(DC3)</f>
        <v>22</v>
      </c>
      <c r="DD4" s="225"/>
      <c r="DE4" s="225"/>
      <c r="DF4" s="225"/>
      <c r="DG4" s="225"/>
      <c r="DH4" s="225"/>
      <c r="DI4" s="225"/>
      <c r="DJ4" s="225"/>
      <c r="DK4" s="225"/>
      <c r="DL4" s="225"/>
      <c r="DM4" s="225"/>
      <c r="DN4" s="225"/>
      <c r="DO4" s="225"/>
      <c r="DP4" s="225"/>
      <c r="DQ4" s="225"/>
      <c r="DR4" s="225"/>
      <c r="DS4" s="227"/>
      <c r="DT4" s="16"/>
      <c r="DU4" s="16"/>
      <c r="DV4" s="16"/>
      <c r="DW4" s="16"/>
      <c r="DX4" s="16"/>
      <c r="DY4" s="16"/>
    </row>
    <row r="5" spans="2:129" s="13" customFormat="1" ht="15.75" customHeight="1" x14ac:dyDescent="0.25">
      <c r="B5" s="234"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35"/>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4"/>
      <c r="F7" s="154"/>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5"/>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4"/>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4"/>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4"/>
      <c r="E10" s="154"/>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32"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33"/>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156"/>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5"/>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6"/>
      <c r="M16" s="45"/>
      <c r="N16" s="45"/>
      <c r="O16" s="44"/>
      <c r="P16" s="44"/>
      <c r="Q16" s="44"/>
      <c r="R16" s="44"/>
      <c r="S16" s="44"/>
      <c r="T16" s="172"/>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2"/>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6"/>
      <c r="O18" s="172"/>
      <c r="P18" s="172"/>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2"/>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2"/>
      <c r="V20" s="172"/>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2"/>
      <c r="Z21" s="172"/>
      <c r="AA21" s="172"/>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99"/>
      <c r="X22" s="44"/>
      <c r="Y22" s="44"/>
      <c r="Z22" s="44"/>
      <c r="AA22" s="44"/>
      <c r="AB22" s="44"/>
      <c r="AC22" s="172"/>
      <c r="AD22" s="172"/>
      <c r="AE22" s="172"/>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2"/>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6"/>
      <c r="K24" s="156"/>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6"/>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1"/>
      <c r="R26" s="171"/>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1"/>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1"/>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6"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7"/>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6"/>
      <c r="AH33" s="177"/>
      <c r="AI33" s="177"/>
      <c r="AJ33" s="111"/>
      <c r="AK33" s="111"/>
      <c r="AL33" s="111"/>
      <c r="AM33" s="111"/>
      <c r="AN33" s="111"/>
      <c r="AO33" s="111"/>
      <c r="AP33" s="111"/>
      <c r="AQ33" s="111"/>
      <c r="AR33" s="111"/>
      <c r="AS33" s="112"/>
      <c r="AT33" s="112"/>
      <c r="AU33" s="112"/>
      <c r="AV33" s="112"/>
      <c r="AW33" s="112"/>
      <c r="AX33" s="112"/>
      <c r="AY33" s="112"/>
      <c r="AZ33" s="112"/>
      <c r="BA33" s="112"/>
      <c r="BB33" s="186"/>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5"/>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4"/>
      <c r="AK34" s="174"/>
      <c r="AL34" s="174"/>
      <c r="AM34" s="174"/>
      <c r="AN34" s="45"/>
      <c r="AO34" s="45"/>
      <c r="AP34" s="45"/>
      <c r="AQ34" s="45"/>
      <c r="AR34" s="45"/>
      <c r="AS34" s="44"/>
      <c r="AT34" s="44"/>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4"/>
      <c r="AO35" s="174"/>
      <c r="AP35" s="174"/>
      <c r="AQ35" s="45"/>
      <c r="AR35" s="45"/>
      <c r="AS35" s="45"/>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4"/>
      <c r="AR36" s="174"/>
      <c r="AS36" s="174"/>
      <c r="AT36" s="45"/>
      <c r="AU36" s="44"/>
      <c r="AV36" s="44"/>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4"/>
      <c r="AU37" s="175"/>
      <c r="AV37" s="175"/>
      <c r="AW37" s="44"/>
      <c r="AX37" s="44"/>
      <c r="AY37" s="44"/>
      <c r="AZ37" s="44"/>
      <c r="BA37" s="44"/>
      <c r="BB37" s="187"/>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7"/>
      <c r="BC38" s="173"/>
      <c r="BD38" s="174"/>
      <c r="BE38" s="174"/>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174"/>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44"/>
      <c r="BK40" s="44"/>
      <c r="BL40" s="44"/>
      <c r="BM40" s="44"/>
      <c r="BN40" s="44"/>
      <c r="BO40" s="44"/>
      <c r="BP40" s="44"/>
      <c r="BQ40" s="44"/>
      <c r="BR40" s="45"/>
      <c r="BS40" s="45"/>
      <c r="BT40" s="45"/>
      <c r="BU40" s="174"/>
      <c r="BV40" s="174"/>
      <c r="BW40" s="174"/>
      <c r="BX40" s="174"/>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7"/>
      <c r="BC41" s="67"/>
      <c r="BD41" s="45"/>
      <c r="BE41" s="44"/>
      <c r="BF41" s="45"/>
      <c r="BG41" s="45"/>
      <c r="BH41" s="44"/>
      <c r="BI41" s="44"/>
      <c r="BJ41" s="175"/>
      <c r="BK41" s="175"/>
      <c r="BL41" s="175"/>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159"/>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159"/>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159"/>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159"/>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39"/>
      <c r="BH46" s="38"/>
      <c r="BI46" s="38"/>
      <c r="BJ46" s="38"/>
      <c r="BK46" s="38"/>
      <c r="BL46" s="38"/>
      <c r="BM46" s="38"/>
      <c r="BN46" s="38"/>
      <c r="BO46" s="38"/>
      <c r="BP46" s="38"/>
      <c r="BQ46" s="159"/>
      <c r="BR46" s="159"/>
      <c r="BS46" s="159"/>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153"/>
      <c r="BH47" s="159"/>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159"/>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159"/>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8"/>
      <c r="BF50" s="39"/>
      <c r="BG50" s="39"/>
      <c r="BH50" s="38"/>
      <c r="BI50" s="38"/>
      <c r="BJ50" s="38"/>
      <c r="BK50" s="38"/>
      <c r="BL50" s="38"/>
      <c r="BM50" s="38"/>
      <c r="BN50" s="38"/>
      <c r="BO50" s="38"/>
      <c r="BP50" s="38"/>
      <c r="BQ50" s="38"/>
      <c r="BR50" s="38"/>
      <c r="BS50" s="38"/>
      <c r="BT50" s="38"/>
      <c r="BU50" s="39"/>
      <c r="BV50" s="39"/>
      <c r="BW50" s="39"/>
      <c r="BX50" s="39"/>
      <c r="BY50" s="153"/>
      <c r="BZ50" s="153"/>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59"/>
      <c r="AX51" s="159"/>
      <c r="AY51" s="38"/>
      <c r="AZ51" s="38"/>
      <c r="BA51" s="38"/>
      <c r="BB51" s="188"/>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59"/>
      <c r="AZ52" s="159"/>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8"/>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89"/>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8"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9"/>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3"/>
      <c r="D58" s="182"/>
      <c r="E58" s="182"/>
      <c r="F58" s="182"/>
      <c r="G58" s="182"/>
      <c r="H58" s="182"/>
      <c r="I58" s="182"/>
      <c r="J58" s="182"/>
      <c r="K58" s="182"/>
      <c r="L58" s="182"/>
      <c r="M58" s="182"/>
      <c r="N58" s="182"/>
      <c r="O58" s="178"/>
      <c r="P58" s="178"/>
      <c r="Q58" s="178"/>
      <c r="R58" s="178"/>
      <c r="S58" s="178"/>
      <c r="T58" s="178"/>
      <c r="U58" s="178"/>
      <c r="V58" s="178"/>
      <c r="W58" s="178"/>
      <c r="X58" s="178"/>
      <c r="Y58" s="178"/>
      <c r="Z58" s="178"/>
      <c r="AA58" s="178"/>
      <c r="AB58" s="178"/>
      <c r="AC58" s="178"/>
      <c r="AD58" s="178"/>
      <c r="AE58" s="178"/>
      <c r="AF58" s="178"/>
      <c r="AG58" s="183"/>
      <c r="AH58" s="182"/>
      <c r="AI58" s="182"/>
      <c r="AJ58" s="182"/>
      <c r="AK58" s="182"/>
      <c r="AL58" s="182"/>
      <c r="AM58" s="182"/>
      <c r="AN58" s="182"/>
      <c r="AO58" s="182"/>
      <c r="AP58" s="182"/>
      <c r="AQ58" s="182"/>
      <c r="AR58" s="182"/>
      <c r="AS58" s="178"/>
      <c r="AT58" s="178"/>
      <c r="AU58" s="178"/>
      <c r="AV58" s="178"/>
      <c r="AW58" s="178"/>
      <c r="AX58" s="178"/>
      <c r="AY58" s="178"/>
      <c r="AZ58" s="178"/>
      <c r="BA58" s="178"/>
      <c r="BB58" s="178"/>
      <c r="BC58" s="179"/>
      <c r="BD58" s="180"/>
      <c r="BE58" s="180"/>
      <c r="BF58" s="180"/>
      <c r="BG58" s="180"/>
      <c r="BH58" s="180"/>
      <c r="BI58" s="180"/>
      <c r="BJ58" s="180"/>
      <c r="BK58" s="180"/>
      <c r="BL58" s="180"/>
      <c r="BM58" s="180"/>
      <c r="BN58" s="180"/>
      <c r="BO58" s="181"/>
      <c r="BP58" s="181"/>
      <c r="BQ58" s="181"/>
      <c r="BR58" s="181"/>
      <c r="BS58" s="181"/>
      <c r="BT58" s="181"/>
      <c r="BU58" s="181"/>
      <c r="BV58" s="181"/>
      <c r="BW58" s="181"/>
      <c r="BX58" s="181"/>
      <c r="BY58" s="181"/>
      <c r="BZ58" s="181"/>
      <c r="CA58" s="181"/>
      <c r="CB58" s="181"/>
      <c r="CC58" s="181"/>
      <c r="CD58" s="181"/>
      <c r="CE58" s="181"/>
      <c r="CF58" s="190"/>
      <c r="CG58" s="182"/>
      <c r="CH58" s="182"/>
      <c r="CI58" s="182"/>
      <c r="CJ58" s="182"/>
      <c r="CK58" s="178"/>
      <c r="CL58" s="178"/>
      <c r="CM58" s="178"/>
      <c r="CN58" s="178"/>
      <c r="CO58" s="178"/>
      <c r="CP58" s="178"/>
      <c r="CQ58" s="178"/>
      <c r="CR58" s="178"/>
      <c r="CS58" s="178"/>
      <c r="CT58" s="178"/>
      <c r="CU58" s="178"/>
      <c r="CV58" s="178"/>
      <c r="CW58" s="178"/>
      <c r="CX58" s="178"/>
      <c r="CY58" s="178"/>
      <c r="CZ58" s="178"/>
      <c r="DA58" s="178"/>
      <c r="DB58" s="178"/>
      <c r="DC58" s="183"/>
      <c r="DD58" s="182"/>
      <c r="DE58" s="182"/>
      <c r="DF58" s="182"/>
      <c r="DG58" s="182"/>
      <c r="DH58" s="182"/>
      <c r="DI58" s="182"/>
      <c r="DJ58" s="182"/>
      <c r="DK58" s="182"/>
      <c r="DL58" s="182"/>
      <c r="DM58" s="182"/>
      <c r="DN58" s="182"/>
      <c r="DO58" s="178"/>
      <c r="DP58" s="178"/>
      <c r="DQ58" s="178"/>
      <c r="DR58" s="178"/>
      <c r="DS58" s="184"/>
    </row>
    <row r="59" spans="2:123" x14ac:dyDescent="0.25">
      <c r="B59" s="1" t="str">
        <f>Base!I50</f>
        <v>402 journal de travail</v>
      </c>
      <c r="C59" s="160"/>
      <c r="D59" s="161"/>
      <c r="E59" s="161"/>
      <c r="F59" s="161"/>
      <c r="G59" s="161"/>
      <c r="H59" s="161"/>
      <c r="I59" s="161"/>
      <c r="J59" s="161"/>
      <c r="K59" s="161"/>
      <c r="L59" s="161"/>
      <c r="M59" s="161"/>
      <c r="N59" s="161"/>
      <c r="O59" s="162"/>
      <c r="P59" s="162"/>
      <c r="Q59" s="162"/>
      <c r="R59" s="162"/>
      <c r="S59" s="162"/>
      <c r="T59" s="162"/>
      <c r="U59" s="162"/>
      <c r="V59" s="162"/>
      <c r="W59" s="162"/>
      <c r="X59" s="162"/>
      <c r="Y59" s="162"/>
      <c r="Z59" s="162"/>
      <c r="AA59" s="162"/>
      <c r="AB59" s="162"/>
      <c r="AC59" s="162"/>
      <c r="AD59" s="162"/>
      <c r="AE59" s="162"/>
      <c r="AF59" s="162"/>
      <c r="AG59" s="160"/>
      <c r="AH59" s="161"/>
      <c r="AI59" s="161"/>
      <c r="AJ59" s="161"/>
      <c r="AK59" s="161"/>
      <c r="AL59" s="161"/>
      <c r="AM59" s="161"/>
      <c r="AN59" s="161"/>
      <c r="AO59" s="161"/>
      <c r="AP59" s="161"/>
      <c r="AQ59" s="161"/>
      <c r="AR59" s="161"/>
      <c r="AS59" s="162"/>
      <c r="AT59" s="162"/>
      <c r="AU59" s="162"/>
      <c r="AV59" s="162"/>
      <c r="AW59" s="162"/>
      <c r="AX59" s="162"/>
      <c r="AY59" s="162"/>
      <c r="AZ59" s="162"/>
      <c r="BA59" s="162"/>
      <c r="BB59" s="162"/>
      <c r="BC59" s="160"/>
      <c r="BD59" s="161"/>
      <c r="BE59" s="161"/>
      <c r="BF59" s="161"/>
      <c r="BG59" s="161"/>
      <c r="BH59" s="161"/>
      <c r="BI59" s="161"/>
      <c r="BJ59" s="161"/>
      <c r="BK59" s="161"/>
      <c r="BL59" s="161"/>
      <c r="BM59" s="161"/>
      <c r="BN59" s="161"/>
      <c r="BO59" s="162"/>
      <c r="BP59" s="162"/>
      <c r="BQ59" s="162"/>
      <c r="BR59" s="162"/>
      <c r="BS59" s="162"/>
      <c r="BT59" s="162"/>
      <c r="BU59" s="162"/>
      <c r="BV59" s="162"/>
      <c r="BW59" s="162"/>
      <c r="BX59" s="162"/>
      <c r="BY59" s="162"/>
      <c r="BZ59" s="162"/>
      <c r="CA59" s="162"/>
      <c r="CB59" s="162"/>
      <c r="CC59" s="162"/>
      <c r="CD59" s="162"/>
      <c r="CE59" s="162"/>
      <c r="CF59" s="163"/>
      <c r="CG59" s="161"/>
      <c r="CH59" s="161"/>
      <c r="CI59" s="161"/>
      <c r="CJ59" s="161"/>
      <c r="CK59" s="162"/>
      <c r="CL59" s="162"/>
      <c r="CM59" s="162"/>
      <c r="CN59" s="162"/>
      <c r="CO59" s="162"/>
      <c r="CP59" s="162"/>
      <c r="CQ59" s="162"/>
      <c r="CR59" s="162"/>
      <c r="CS59" s="162"/>
      <c r="CT59" s="162"/>
      <c r="CU59" s="162"/>
      <c r="CV59" s="162"/>
      <c r="CW59" s="162"/>
      <c r="CX59" s="162"/>
      <c r="CY59" s="162"/>
      <c r="CZ59" s="162"/>
      <c r="DA59" s="162"/>
      <c r="DB59" s="162"/>
      <c r="DC59" s="160"/>
      <c r="DD59" s="161"/>
      <c r="DE59" s="161"/>
      <c r="DF59" s="161"/>
      <c r="DG59" s="161"/>
      <c r="DH59" s="161"/>
      <c r="DI59" s="161"/>
      <c r="DJ59" s="161"/>
      <c r="DK59" s="161"/>
      <c r="DL59" s="161"/>
      <c r="DM59" s="161"/>
      <c r="DN59" s="161"/>
      <c r="DO59" s="162"/>
      <c r="DP59" s="162"/>
      <c r="DQ59" s="162"/>
      <c r="DR59" s="162"/>
      <c r="DS59" s="163"/>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7"/>
      <c r="DN60" s="157"/>
      <c r="DO60" s="158"/>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5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7"/>
      <c r="DL61" s="157"/>
      <c r="DM61" s="39"/>
      <c r="DN61" s="39"/>
      <c r="DO61" s="38"/>
      <c r="DP61" s="38"/>
      <c r="DQ61" s="38"/>
      <c r="DR61" s="38"/>
      <c r="DS61" s="60"/>
    </row>
    <row r="62" spans="2:123" x14ac:dyDescent="0.25">
      <c r="B62" s="1" t="str">
        <f>Base!I53</f>
        <v>405 mise en place du GitHub</v>
      </c>
      <c r="C62" s="64"/>
      <c r="D62" s="39"/>
      <c r="E62" s="39"/>
      <c r="F62" s="157"/>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4"/>
      <c r="K63" s="41"/>
      <c r="L63" s="41"/>
      <c r="M63" s="41"/>
      <c r="N63" s="41"/>
      <c r="O63" s="165"/>
      <c r="P63" s="40"/>
      <c r="Q63" s="40"/>
      <c r="R63" s="40"/>
      <c r="S63" s="40"/>
      <c r="T63" s="40"/>
      <c r="U63" s="40"/>
      <c r="V63" s="40"/>
      <c r="W63" s="40"/>
      <c r="X63" s="40"/>
      <c r="Y63" s="40"/>
      <c r="Z63" s="40"/>
      <c r="AA63" s="40"/>
      <c r="AB63" s="40"/>
      <c r="AC63" s="40"/>
      <c r="AD63" s="40"/>
      <c r="AE63" s="40"/>
      <c r="AF63" s="165"/>
      <c r="AG63" s="66"/>
      <c r="AH63" s="41"/>
      <c r="AI63" s="41"/>
      <c r="AJ63" s="41"/>
      <c r="AK63" s="41"/>
      <c r="AL63" s="41"/>
      <c r="AM63" s="41"/>
      <c r="AN63" s="41"/>
      <c r="AO63" s="41"/>
      <c r="AP63" s="41"/>
      <c r="AQ63" s="41"/>
      <c r="AR63" s="41"/>
      <c r="AS63" s="165"/>
      <c r="AT63" s="40"/>
      <c r="AU63" s="40"/>
      <c r="AV63" s="40"/>
      <c r="AW63" s="40"/>
      <c r="AX63" s="40"/>
      <c r="AY63" s="40"/>
      <c r="AZ63" s="40"/>
      <c r="BA63" s="40"/>
      <c r="BB63" s="165"/>
      <c r="BC63" s="65"/>
      <c r="BD63" s="59"/>
      <c r="BE63" s="59"/>
      <c r="BF63" s="59"/>
      <c r="BG63" s="59"/>
      <c r="BH63" s="59"/>
      <c r="BI63" s="59"/>
      <c r="BJ63" s="59"/>
      <c r="BK63" s="59"/>
      <c r="BL63" s="59"/>
      <c r="BM63" s="59"/>
      <c r="BN63" s="59"/>
      <c r="BO63" s="166"/>
      <c r="BP63" s="58"/>
      <c r="BQ63" s="58"/>
      <c r="BR63" s="58"/>
      <c r="BS63" s="58"/>
      <c r="BT63" s="58"/>
      <c r="BU63" s="58"/>
      <c r="BV63" s="58"/>
      <c r="BW63" s="58"/>
      <c r="BX63" s="58"/>
      <c r="BY63" s="58"/>
      <c r="BZ63" s="58"/>
      <c r="CA63" s="58"/>
      <c r="CB63" s="58"/>
      <c r="CC63" s="58"/>
      <c r="CD63" s="58"/>
      <c r="CE63" s="58"/>
      <c r="CF63" s="191"/>
      <c r="CG63" s="41"/>
      <c r="CH63" s="41"/>
      <c r="CI63" s="41"/>
      <c r="CJ63" s="41"/>
      <c r="CK63" s="165"/>
      <c r="CL63" s="40"/>
      <c r="CM63" s="40"/>
      <c r="CN63" s="40"/>
      <c r="CO63" s="40"/>
      <c r="CP63" s="40"/>
      <c r="CQ63" s="40"/>
      <c r="CR63" s="40"/>
      <c r="CS63" s="40"/>
      <c r="CT63" s="40"/>
      <c r="CU63" s="40"/>
      <c r="CV63" s="40"/>
      <c r="CW63" s="40"/>
      <c r="CX63" s="40"/>
      <c r="CY63" s="40"/>
      <c r="CZ63" s="40"/>
      <c r="DA63" s="40"/>
      <c r="DB63" s="165"/>
      <c r="DC63" s="66"/>
      <c r="DD63" s="41"/>
      <c r="DE63" s="41"/>
      <c r="DF63" s="41"/>
      <c r="DG63" s="41"/>
      <c r="DH63" s="41"/>
      <c r="DI63" s="41"/>
      <c r="DJ63" s="41"/>
      <c r="DK63" s="41"/>
      <c r="DL63" s="41"/>
      <c r="DM63" s="41"/>
      <c r="DN63" s="41"/>
      <c r="DO63" s="40"/>
      <c r="DP63" s="40"/>
      <c r="DQ63" s="40"/>
      <c r="DR63" s="165"/>
      <c r="DS63" s="167"/>
    </row>
    <row r="64" spans="2:123" ht="15" customHeight="1" x14ac:dyDescent="0.25">
      <c r="B64" s="230"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31"/>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8"/>
      <c r="AX66" s="178"/>
      <c r="AY66" s="178"/>
      <c r="AZ66" s="178"/>
      <c r="BA66" s="178"/>
      <c r="BB66" s="178"/>
      <c r="BC66" s="179"/>
      <c r="BD66" s="180"/>
      <c r="BE66" s="180"/>
      <c r="BF66" s="180"/>
      <c r="BG66" s="180"/>
      <c r="BH66" s="180"/>
      <c r="BI66" s="180"/>
      <c r="BJ66" s="180"/>
      <c r="BK66" s="180"/>
      <c r="BL66" s="180"/>
      <c r="BM66" s="180"/>
      <c r="BN66" s="180"/>
      <c r="BO66" s="181"/>
      <c r="BP66" s="181"/>
      <c r="BQ66" s="181"/>
      <c r="BR66" s="181"/>
      <c r="BS66" s="181"/>
      <c r="BT66" s="181"/>
      <c r="BU66" s="181"/>
      <c r="BV66" s="181"/>
      <c r="BW66" s="181"/>
      <c r="BX66" s="181"/>
      <c r="BY66" s="181"/>
      <c r="BZ66" s="181"/>
      <c r="CA66" s="181"/>
      <c r="CB66" s="181"/>
      <c r="CC66" s="181"/>
      <c r="CD66" s="181"/>
      <c r="CE66" s="181"/>
      <c r="CF66" s="190"/>
      <c r="CG66" s="182"/>
      <c r="CH66" s="182"/>
      <c r="CI66" s="182"/>
      <c r="CJ66" s="182"/>
      <c r="CK66" s="178"/>
      <c r="CL66" s="178"/>
      <c r="CM66" s="178"/>
      <c r="CN66" s="178"/>
      <c r="CO66" s="178"/>
      <c r="CP66" s="178"/>
      <c r="CQ66" s="178"/>
      <c r="CR66" s="178"/>
      <c r="CS66" s="178"/>
      <c r="CT66" s="178"/>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0"/>
      <c r="BD67" s="161"/>
      <c r="BE67" s="161"/>
      <c r="BF67" s="161"/>
      <c r="BG67" s="161"/>
      <c r="BH67" s="161"/>
      <c r="BI67" s="161"/>
      <c r="BJ67" s="161"/>
      <c r="BK67" s="161"/>
      <c r="BL67" s="161"/>
      <c r="BM67" s="161"/>
      <c r="BN67" s="161"/>
      <c r="BO67" s="162"/>
      <c r="BP67" s="162"/>
      <c r="BQ67" s="162"/>
      <c r="BR67" s="162"/>
      <c r="BS67" s="162"/>
      <c r="BT67" s="162"/>
      <c r="BU67" s="162"/>
      <c r="BV67" s="162"/>
      <c r="BW67" s="162"/>
      <c r="BX67" s="162"/>
      <c r="BY67" s="162"/>
      <c r="BZ67" s="162"/>
      <c r="CA67" s="162"/>
      <c r="CB67" s="162"/>
      <c r="CC67" s="162"/>
      <c r="CD67" s="162"/>
      <c r="CE67" s="162"/>
      <c r="CF67" s="163"/>
      <c r="CG67" s="161"/>
      <c r="CH67" s="161"/>
      <c r="CI67" s="161"/>
      <c r="CJ67" s="161"/>
      <c r="CK67" s="162"/>
      <c r="CL67" s="162"/>
      <c r="CM67" s="162"/>
      <c r="CN67" s="162"/>
      <c r="CO67" s="162"/>
      <c r="CP67" s="162"/>
      <c r="CQ67" s="162"/>
      <c r="CR67" s="162"/>
      <c r="CS67" s="162"/>
      <c r="CT67" s="162"/>
      <c r="CU67" s="162"/>
      <c r="CV67" s="162"/>
      <c r="CW67" s="162"/>
      <c r="CX67" s="162"/>
      <c r="CY67" s="162"/>
      <c r="CZ67" s="162"/>
      <c r="DA67" s="162"/>
      <c r="DB67" s="162"/>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162"/>
      <c r="CV68" s="162"/>
      <c r="CW68" s="162"/>
      <c r="CX68" s="162"/>
      <c r="CY68" s="162"/>
      <c r="CZ68" s="162"/>
      <c r="DA68" s="162"/>
      <c r="DB68" s="162"/>
      <c r="DC68" s="160"/>
      <c r="DD68" s="161"/>
      <c r="DE68" s="161"/>
      <c r="DF68" s="161"/>
      <c r="DG68" s="161"/>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2"/>
      <c r="AX69" s="162"/>
      <c r="AY69" s="162"/>
      <c r="AZ69" s="162"/>
      <c r="BA69" s="162"/>
      <c r="BB69" s="162"/>
      <c r="BC69" s="160"/>
      <c r="BD69" s="161"/>
      <c r="BE69" s="161"/>
      <c r="BF69" s="161"/>
      <c r="BG69" s="161"/>
      <c r="BH69" s="161"/>
      <c r="BI69" s="161"/>
      <c r="BJ69" s="161"/>
      <c r="BK69" s="161"/>
      <c r="BL69" s="161"/>
      <c r="BM69" s="161"/>
      <c r="BN69" s="161"/>
      <c r="BO69" s="162"/>
      <c r="BP69" s="162"/>
      <c r="BQ69" s="162"/>
      <c r="BR69" s="162"/>
      <c r="BS69" s="162"/>
      <c r="BT69" s="162"/>
      <c r="BU69" s="162"/>
      <c r="BV69" s="162"/>
      <c r="BW69" s="162"/>
      <c r="BX69" s="162"/>
      <c r="BY69" s="162"/>
      <c r="BZ69" s="162"/>
      <c r="CA69" s="162"/>
      <c r="CB69" s="162"/>
      <c r="CC69" s="162"/>
      <c r="CD69" s="162"/>
      <c r="CE69" s="162"/>
      <c r="CF69" s="163"/>
      <c r="CG69" s="161"/>
      <c r="CH69" s="161"/>
      <c r="CI69" s="161"/>
      <c r="CJ69" s="161"/>
      <c r="CK69" s="162"/>
      <c r="CL69" s="162"/>
      <c r="CM69" s="162"/>
      <c r="CN69" s="162"/>
      <c r="CO69" s="162"/>
      <c r="CP69" s="162"/>
      <c r="CQ69" s="162"/>
      <c r="CR69" s="162"/>
      <c r="CS69" s="162"/>
      <c r="CT69" s="162"/>
      <c r="CU69" s="162"/>
      <c r="CV69" s="162"/>
      <c r="CW69" s="162"/>
      <c r="CX69" s="162"/>
      <c r="CY69" s="162"/>
      <c r="CZ69" s="162"/>
      <c r="DA69" s="162"/>
      <c r="DB69" s="162"/>
      <c r="DC69" s="160"/>
      <c r="DD69" s="161"/>
      <c r="DE69" s="161"/>
      <c r="DF69" s="161"/>
      <c r="DG69" s="161"/>
      <c r="DH69" s="155"/>
      <c r="DI69" s="155"/>
      <c r="DJ69" s="155"/>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8"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19"/>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1"/>
      <c r="D74" s="45"/>
      <c r="E74" s="45"/>
      <c r="F74" s="45"/>
      <c r="G74" s="45"/>
      <c r="H74" s="45"/>
      <c r="I74" s="45"/>
      <c r="J74" s="45"/>
      <c r="K74" s="45"/>
      <c r="L74" s="45"/>
      <c r="M74" s="45"/>
      <c r="N74" s="45"/>
      <c r="O74" s="44"/>
      <c r="P74" s="44"/>
      <c r="Q74" s="44"/>
      <c r="R74" s="200"/>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5"/>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2"/>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O.Rutz,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1"/>
      <c r="AA77" s="38"/>
      <c r="AB77" s="38"/>
      <c r="AC77" s="38"/>
      <c r="AD77" s="201"/>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5"/>
      <c r="D81" s="39"/>
      <c r="G81" s="217" t="s">
        <v>70</v>
      </c>
      <c r="H81" s="217"/>
      <c r="I81" s="217"/>
      <c r="J81" s="217"/>
      <c r="K81" s="217"/>
      <c r="L81" s="217"/>
      <c r="M81" s="217"/>
      <c r="N81" s="217"/>
      <c r="O81" s="217"/>
      <c r="P81" s="217"/>
      <c r="Q81" s="217"/>
      <c r="R81" s="217"/>
      <c r="S81" s="217"/>
      <c r="T81" s="217"/>
      <c r="U81" s="217"/>
      <c r="V81" s="217"/>
      <c r="W81" s="217"/>
      <c r="X81" s="217"/>
      <c r="Y81" s="217"/>
      <c r="Z81" s="217"/>
      <c r="AA81" s="217"/>
      <c r="AB81" s="217"/>
      <c r="AC81" s="217"/>
      <c r="AD81" s="217"/>
      <c r="AE81" s="217"/>
      <c r="AF81" s="217"/>
      <c r="DT81" s="33"/>
      <c r="DU81" s="33"/>
    </row>
    <row r="82" spans="3:125" x14ac:dyDescent="0.25">
      <c r="DT82" s="33"/>
      <c r="DU82" s="33"/>
    </row>
    <row r="83" spans="3:125" x14ac:dyDescent="0.25">
      <c r="D83" s="147"/>
      <c r="G83" s="217" t="s">
        <v>71</v>
      </c>
      <c r="H83" s="217"/>
      <c r="I83" s="217"/>
      <c r="J83" s="217"/>
      <c r="K83" s="217"/>
      <c r="L83" s="217"/>
      <c r="M83" s="217"/>
      <c r="N83" s="217"/>
      <c r="O83" s="217"/>
      <c r="P83" s="217"/>
      <c r="Q83" s="217"/>
      <c r="R83" s="217"/>
      <c r="S83" s="217"/>
      <c r="T83" s="217"/>
      <c r="U83" s="217"/>
      <c r="V83" s="217"/>
      <c r="W83" s="217"/>
      <c r="X83" s="217"/>
      <c r="Y83" s="217"/>
      <c r="Z83" s="217"/>
      <c r="AA83" s="217"/>
      <c r="AB83" s="217"/>
      <c r="AC83" s="217"/>
      <c r="AD83" s="217"/>
      <c r="AE83" s="217"/>
      <c r="AF83" s="217"/>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Costa&amp;CGestion de cave à vin&amp;RTPI 2021</oddHeader>
    <oddFooter>&amp;L&amp;D&amp;C&amp;P&amp;RAnnexe A6 : planification définitive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92D050"/>
    <pageSetUpPr fitToPage="1"/>
  </sheetPr>
  <dimension ref="B1:DY93"/>
  <sheetViews>
    <sheetView topLeftCell="A55" zoomScale="70" zoomScaleNormal="70" zoomScaleSheetLayoutView="70" zoomScalePageLayoutView="70" workbookViewId="0">
      <selection activeCell="DS69" sqref="DS69"/>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4">
        <f ca="1">TODAY()</f>
        <v>44347</v>
      </c>
    </row>
    <row r="2" spans="2:129" ht="60.75" customHeight="1" thickBot="1" x14ac:dyDescent="0.3">
      <c r="B2" s="214" t="s">
        <v>158</v>
      </c>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c r="BA2" s="215"/>
      <c r="BB2" s="215"/>
      <c r="BC2" s="215"/>
      <c r="BD2" s="215"/>
      <c r="BE2" s="215"/>
      <c r="BF2" s="215"/>
      <c r="BG2" s="215"/>
      <c r="BH2" s="215"/>
      <c r="BI2" s="215"/>
      <c r="BJ2" s="215"/>
      <c r="BK2" s="215"/>
      <c r="BL2" s="215"/>
      <c r="BM2" s="215"/>
      <c r="BN2" s="215"/>
      <c r="BO2" s="215"/>
      <c r="BP2" s="215"/>
      <c r="BQ2" s="215"/>
      <c r="BR2" s="215"/>
      <c r="BS2" s="215"/>
      <c r="BT2" s="215"/>
      <c r="BU2" s="215"/>
      <c r="BV2" s="215"/>
      <c r="BW2" s="215"/>
      <c r="BX2" s="215"/>
      <c r="BY2" s="215"/>
      <c r="BZ2" s="215"/>
      <c r="CA2" s="215"/>
      <c r="CB2" s="215"/>
      <c r="CC2" s="215"/>
      <c r="CD2" s="215"/>
      <c r="CE2" s="215"/>
      <c r="CF2" s="215"/>
      <c r="CG2" s="215"/>
      <c r="CH2" s="215"/>
      <c r="CI2" s="215"/>
      <c r="CJ2" s="215"/>
      <c r="CK2" s="215"/>
      <c r="CL2" s="215"/>
      <c r="CM2" s="215"/>
      <c r="CN2" s="215"/>
      <c r="CO2" s="215"/>
      <c r="CP2" s="215"/>
      <c r="CQ2" s="215"/>
      <c r="CR2" s="215"/>
      <c r="CS2" s="215"/>
      <c r="CT2" s="215"/>
      <c r="CU2" s="215"/>
      <c r="CV2" s="215"/>
      <c r="CW2" s="215"/>
      <c r="CX2" s="215"/>
      <c r="CY2" s="215"/>
      <c r="CZ2" s="215"/>
      <c r="DA2" s="215"/>
      <c r="DB2" s="215"/>
      <c r="DC2" s="215"/>
      <c r="DD2" s="215"/>
      <c r="DE2" s="215"/>
      <c r="DF2" s="215"/>
      <c r="DG2" s="215"/>
      <c r="DH2" s="215"/>
      <c r="DI2" s="215"/>
      <c r="DJ2" s="215"/>
      <c r="DK2" s="215"/>
      <c r="DL2" s="215"/>
      <c r="DM2" s="215"/>
      <c r="DN2" s="215"/>
      <c r="DO2" s="215"/>
      <c r="DP2" s="215"/>
      <c r="DQ2" s="215"/>
      <c r="DR2" s="215"/>
      <c r="DS2" s="216"/>
    </row>
    <row r="3" spans="2:129" s="99" customFormat="1" ht="62.25" customHeight="1" x14ac:dyDescent="0.5">
      <c r="B3" s="193"/>
      <c r="C3" s="224">
        <f>Base!B6</f>
        <v>44319</v>
      </c>
      <c r="D3" s="221"/>
      <c r="E3" s="221"/>
      <c r="F3" s="221"/>
      <c r="G3" s="221"/>
      <c r="H3" s="221"/>
      <c r="I3" s="221"/>
      <c r="J3" s="223"/>
      <c r="K3" s="220">
        <f>C3+1</f>
        <v>44320</v>
      </c>
      <c r="L3" s="221"/>
      <c r="M3" s="221"/>
      <c r="N3" s="221"/>
      <c r="O3" s="223"/>
      <c r="P3" s="220">
        <f>K3+1</f>
        <v>44321</v>
      </c>
      <c r="Q3" s="221"/>
      <c r="R3" s="221"/>
      <c r="S3" s="221"/>
      <c r="T3" s="221"/>
      <c r="U3" s="221"/>
      <c r="V3" s="221"/>
      <c r="W3" s="221"/>
      <c r="X3" s="223"/>
      <c r="Y3" s="220">
        <f>P3+1</f>
        <v>44322</v>
      </c>
      <c r="Z3" s="221"/>
      <c r="AA3" s="221"/>
      <c r="AB3" s="221"/>
      <c r="AC3" s="221"/>
      <c r="AD3" s="221"/>
      <c r="AE3" s="221"/>
      <c r="AF3" s="223"/>
      <c r="AG3" s="224">
        <v>44326</v>
      </c>
      <c r="AH3" s="221"/>
      <c r="AI3" s="221"/>
      <c r="AJ3" s="221"/>
      <c r="AK3" s="221"/>
      <c r="AL3" s="221"/>
      <c r="AM3" s="221"/>
      <c r="AN3" s="223"/>
      <c r="AO3" s="220">
        <f>AG3+1</f>
        <v>44327</v>
      </c>
      <c r="AP3" s="221"/>
      <c r="AQ3" s="221"/>
      <c r="AR3" s="221"/>
      <c r="AS3" s="223"/>
      <c r="AT3" s="220">
        <f>AO3+1</f>
        <v>44328</v>
      </c>
      <c r="AU3" s="221"/>
      <c r="AV3" s="221"/>
      <c r="AW3" s="221"/>
      <c r="AX3" s="221"/>
      <c r="AY3" s="221"/>
      <c r="AZ3" s="221"/>
      <c r="BA3" s="221"/>
      <c r="BB3" s="223"/>
      <c r="BC3" s="224">
        <f>AT3+5</f>
        <v>44333</v>
      </c>
      <c r="BD3" s="221"/>
      <c r="BE3" s="221"/>
      <c r="BF3" s="221"/>
      <c r="BG3" s="221"/>
      <c r="BH3" s="221"/>
      <c r="BI3" s="221"/>
      <c r="BJ3" s="223"/>
      <c r="BK3" s="220">
        <f>BC3+1</f>
        <v>44334</v>
      </c>
      <c r="BL3" s="221"/>
      <c r="BM3" s="221"/>
      <c r="BN3" s="221"/>
      <c r="BO3" s="223"/>
      <c r="BP3" s="220">
        <f>BK3+1</f>
        <v>44335</v>
      </c>
      <c r="BQ3" s="221"/>
      <c r="BR3" s="221"/>
      <c r="BS3" s="221"/>
      <c r="BT3" s="221"/>
      <c r="BU3" s="221"/>
      <c r="BV3" s="221"/>
      <c r="BW3" s="221"/>
      <c r="BX3" s="223"/>
      <c r="BY3" s="220">
        <f>BP3+1</f>
        <v>44336</v>
      </c>
      <c r="BZ3" s="221"/>
      <c r="CA3" s="221"/>
      <c r="CB3" s="221"/>
      <c r="CC3" s="221"/>
      <c r="CD3" s="221"/>
      <c r="CE3" s="221"/>
      <c r="CF3" s="223"/>
      <c r="CG3" s="220">
        <f>BY3+5</f>
        <v>44341</v>
      </c>
      <c r="CH3" s="221"/>
      <c r="CI3" s="221"/>
      <c r="CJ3" s="221"/>
      <c r="CK3" s="223"/>
      <c r="CL3" s="220">
        <f>CG3+1</f>
        <v>44342</v>
      </c>
      <c r="CM3" s="221"/>
      <c r="CN3" s="221"/>
      <c r="CO3" s="221"/>
      <c r="CP3" s="221"/>
      <c r="CQ3" s="221"/>
      <c r="CR3" s="221"/>
      <c r="CS3" s="221"/>
      <c r="CT3" s="223"/>
      <c r="CU3" s="220">
        <f>CL3+1</f>
        <v>44343</v>
      </c>
      <c r="CV3" s="221"/>
      <c r="CW3" s="221"/>
      <c r="CX3" s="221"/>
      <c r="CY3" s="221"/>
      <c r="CZ3" s="221"/>
      <c r="DA3" s="221"/>
      <c r="DB3" s="223"/>
      <c r="DC3" s="224">
        <f>CU3+4</f>
        <v>44347</v>
      </c>
      <c r="DD3" s="221"/>
      <c r="DE3" s="221"/>
      <c r="DF3" s="221"/>
      <c r="DG3" s="221"/>
      <c r="DH3" s="221"/>
      <c r="DI3" s="221"/>
      <c r="DJ3" s="223"/>
      <c r="DK3" s="220">
        <f>DC3+1</f>
        <v>44348</v>
      </c>
      <c r="DL3" s="221"/>
      <c r="DM3" s="221"/>
      <c r="DN3" s="221"/>
      <c r="DO3" s="223"/>
      <c r="DP3" s="220">
        <f>DK3+1</f>
        <v>44349</v>
      </c>
      <c r="DQ3" s="221"/>
      <c r="DR3" s="221"/>
      <c r="DS3" s="222"/>
      <c r="DT3" s="192"/>
      <c r="DU3" s="192"/>
      <c r="DV3" s="192"/>
      <c r="DW3" s="192"/>
      <c r="DX3" s="192"/>
      <c r="DY3" s="192"/>
    </row>
    <row r="4" spans="2:129" s="15" customFormat="1" ht="19.5" thickBot="1" x14ac:dyDescent="0.3">
      <c r="B4" s="70" t="s">
        <v>8</v>
      </c>
      <c r="C4" s="225">
        <f>_xlfn.ISOWEEKNUM(C3)</f>
        <v>18</v>
      </c>
      <c r="D4" s="225"/>
      <c r="E4" s="225"/>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c r="AE4" s="225"/>
      <c r="AF4" s="225"/>
      <c r="AG4" s="226">
        <f>_xlfn.ISOWEEKNUM(AG3)</f>
        <v>19</v>
      </c>
      <c r="AH4" s="225"/>
      <c r="AI4" s="225"/>
      <c r="AJ4" s="225"/>
      <c r="AK4" s="225"/>
      <c r="AL4" s="225"/>
      <c r="AM4" s="225"/>
      <c r="AN4" s="225"/>
      <c r="AO4" s="225"/>
      <c r="AP4" s="225"/>
      <c r="AQ4" s="225"/>
      <c r="AR4" s="225"/>
      <c r="AS4" s="225"/>
      <c r="AT4" s="225"/>
      <c r="AU4" s="225"/>
      <c r="AV4" s="225"/>
      <c r="AW4" s="225"/>
      <c r="AX4" s="225"/>
      <c r="AY4" s="225"/>
      <c r="AZ4" s="225"/>
      <c r="BA4" s="225"/>
      <c r="BB4" s="225"/>
      <c r="BC4" s="225">
        <f>_xlfn.ISOWEEKNUM(BC3)</f>
        <v>20</v>
      </c>
      <c r="BD4" s="225"/>
      <c r="BE4" s="225"/>
      <c r="BF4" s="225"/>
      <c r="BG4" s="225"/>
      <c r="BH4" s="225"/>
      <c r="BI4" s="225"/>
      <c r="BJ4" s="225"/>
      <c r="BK4" s="225"/>
      <c r="BL4" s="225"/>
      <c r="BM4" s="225"/>
      <c r="BN4" s="225"/>
      <c r="BO4" s="225"/>
      <c r="BP4" s="225"/>
      <c r="BQ4" s="225"/>
      <c r="BR4" s="225"/>
      <c r="BS4" s="225"/>
      <c r="BT4" s="225"/>
      <c r="BU4" s="225"/>
      <c r="BV4" s="225"/>
      <c r="BW4" s="225"/>
      <c r="BX4" s="225"/>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c r="DA4" s="225"/>
      <c r="DB4" s="225"/>
      <c r="DC4" s="226">
        <f>_xlfn.ISOWEEKNUM(DC3)</f>
        <v>22</v>
      </c>
      <c r="DD4" s="225"/>
      <c r="DE4" s="225"/>
      <c r="DF4" s="225"/>
      <c r="DG4" s="225"/>
      <c r="DH4" s="225"/>
      <c r="DI4" s="225"/>
      <c r="DJ4" s="225"/>
      <c r="DK4" s="225"/>
      <c r="DL4" s="225"/>
      <c r="DM4" s="225"/>
      <c r="DN4" s="225"/>
      <c r="DO4" s="225"/>
      <c r="DP4" s="225"/>
      <c r="DQ4" s="225"/>
      <c r="DR4" s="225"/>
      <c r="DS4" s="227"/>
      <c r="DT4" s="16"/>
      <c r="DU4" s="16"/>
      <c r="DV4" s="16"/>
      <c r="DW4" s="16"/>
      <c r="DX4" s="16"/>
      <c r="DY4" s="16"/>
    </row>
    <row r="5" spans="2:129" s="13" customFormat="1" ht="15.75" customHeight="1" x14ac:dyDescent="0.25">
      <c r="B5" s="234"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35"/>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4"/>
      <c r="F7" s="154"/>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5"/>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4"/>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4"/>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4"/>
      <c r="E10" s="154"/>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32"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33"/>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156"/>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5"/>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6"/>
      <c r="M16" s="45"/>
      <c r="N16" s="45"/>
      <c r="O16" s="44"/>
      <c r="P16" s="44"/>
      <c r="Q16" s="44"/>
      <c r="R16" s="44"/>
      <c r="S16" s="44"/>
      <c r="T16" s="172"/>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2"/>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6"/>
      <c r="O18" s="172"/>
      <c r="P18" s="172"/>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2"/>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2"/>
      <c r="V20" s="172"/>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2"/>
      <c r="Z21" s="172"/>
      <c r="AA21" s="172"/>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99"/>
      <c r="X22" s="44"/>
      <c r="Y22" s="44"/>
      <c r="Z22" s="44"/>
      <c r="AA22" s="44"/>
      <c r="AB22" s="44"/>
      <c r="AC22" s="172"/>
      <c r="AD22" s="172"/>
      <c r="AE22" s="172"/>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2"/>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6"/>
      <c r="K24" s="156"/>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6"/>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1"/>
      <c r="R26" s="171"/>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1"/>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1"/>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6"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7"/>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6"/>
      <c r="AH33" s="177"/>
      <c r="AI33" s="177"/>
      <c r="AJ33" s="111"/>
      <c r="AK33" s="111"/>
      <c r="AL33" s="111"/>
      <c r="AM33" s="111"/>
      <c r="AN33" s="111"/>
      <c r="AO33" s="111"/>
      <c r="AP33" s="111"/>
      <c r="AQ33" s="111"/>
      <c r="AR33" s="111"/>
      <c r="AS33" s="112"/>
      <c r="AT33" s="112"/>
      <c r="AU33" s="112"/>
      <c r="AV33" s="112"/>
      <c r="AW33" s="112"/>
      <c r="AX33" s="112"/>
      <c r="AY33" s="112"/>
      <c r="AZ33" s="112"/>
      <c r="BA33" s="112"/>
      <c r="BB33" s="186"/>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5"/>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4"/>
      <c r="AK34" s="174"/>
      <c r="AL34" s="174"/>
      <c r="AM34" s="174"/>
      <c r="AN34" s="45"/>
      <c r="AO34" s="45"/>
      <c r="AP34" s="45"/>
      <c r="AQ34" s="45"/>
      <c r="AR34" s="45"/>
      <c r="AS34" s="44"/>
      <c r="AT34" s="44"/>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4"/>
      <c r="AO35" s="174"/>
      <c r="AP35" s="174"/>
      <c r="AQ35" s="45"/>
      <c r="AR35" s="45"/>
      <c r="AS35" s="45"/>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4"/>
      <c r="AR36" s="174"/>
      <c r="AS36" s="174"/>
      <c r="AT36" s="45"/>
      <c r="AU36" s="44"/>
      <c r="AV36" s="44"/>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4"/>
      <c r="AU37" s="175"/>
      <c r="AV37" s="175"/>
      <c r="AW37" s="44"/>
      <c r="AX37" s="44"/>
      <c r="AY37" s="44"/>
      <c r="AZ37" s="44"/>
      <c r="BA37" s="44"/>
      <c r="BB37" s="187"/>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7"/>
      <c r="BC38" s="173"/>
      <c r="BD38" s="174"/>
      <c r="BE38" s="174"/>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174"/>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44"/>
      <c r="BK40" s="44"/>
      <c r="BL40" s="44"/>
      <c r="BM40" s="44"/>
      <c r="BN40" s="44"/>
      <c r="BO40" s="44"/>
      <c r="BP40" s="44"/>
      <c r="BQ40" s="44"/>
      <c r="BR40" s="45"/>
      <c r="BS40" s="45"/>
      <c r="BT40" s="45"/>
      <c r="BU40" s="174"/>
      <c r="BV40" s="174"/>
      <c r="BW40" s="174"/>
      <c r="BX40" s="174"/>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7"/>
      <c r="BC41" s="67"/>
      <c r="BD41" s="45"/>
      <c r="BE41" s="44"/>
      <c r="BF41" s="45"/>
      <c r="BG41" s="45"/>
      <c r="BH41" s="44"/>
      <c r="BI41" s="44"/>
      <c r="BJ41" s="175"/>
      <c r="BK41" s="175"/>
      <c r="BL41" s="175"/>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159"/>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159"/>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159"/>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159"/>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39"/>
      <c r="BH46" s="38"/>
      <c r="BI46" s="38"/>
      <c r="BJ46" s="38"/>
      <c r="BK46" s="38"/>
      <c r="BL46" s="38"/>
      <c r="BM46" s="38"/>
      <c r="BN46" s="38"/>
      <c r="BO46" s="38"/>
      <c r="BP46" s="38"/>
      <c r="BQ46" s="159"/>
      <c r="BR46" s="159"/>
      <c r="BS46" s="159"/>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153"/>
      <c r="BH47" s="159"/>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159"/>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159"/>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8"/>
      <c r="BF50" s="39"/>
      <c r="BG50" s="39"/>
      <c r="BH50" s="38"/>
      <c r="BI50" s="38"/>
      <c r="BJ50" s="38"/>
      <c r="BK50" s="38"/>
      <c r="BL50" s="38"/>
      <c r="BM50" s="38"/>
      <c r="BN50" s="38"/>
      <c r="BO50" s="38"/>
      <c r="BP50" s="38"/>
      <c r="BQ50" s="38"/>
      <c r="BR50" s="38"/>
      <c r="BS50" s="38"/>
      <c r="BT50" s="38"/>
      <c r="BU50" s="39"/>
      <c r="BV50" s="39"/>
      <c r="BW50" s="39"/>
      <c r="BX50" s="39"/>
      <c r="BY50" s="153"/>
      <c r="BZ50" s="153"/>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59"/>
      <c r="AX51" s="159"/>
      <c r="AY51" s="38"/>
      <c r="AZ51" s="38"/>
      <c r="BA51" s="38"/>
      <c r="BB51" s="188"/>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59"/>
      <c r="AZ52" s="159"/>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8"/>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89"/>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8"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9"/>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3"/>
      <c r="D58" s="182"/>
      <c r="E58" s="182"/>
      <c r="F58" s="182"/>
      <c r="G58" s="182"/>
      <c r="H58" s="182"/>
      <c r="I58" s="182"/>
      <c r="J58" s="182"/>
      <c r="K58" s="182"/>
      <c r="L58" s="182"/>
      <c r="M58" s="182"/>
      <c r="N58" s="182"/>
      <c r="O58" s="178"/>
      <c r="P58" s="178"/>
      <c r="Q58" s="178"/>
      <c r="R58" s="178"/>
      <c r="S58" s="178"/>
      <c r="T58" s="178"/>
      <c r="U58" s="178"/>
      <c r="V58" s="178"/>
      <c r="W58" s="178"/>
      <c r="X58" s="178"/>
      <c r="Y58" s="178"/>
      <c r="Z58" s="178"/>
      <c r="AA58" s="178"/>
      <c r="AB58" s="178"/>
      <c r="AC58" s="178"/>
      <c r="AD58" s="178"/>
      <c r="AE58" s="178"/>
      <c r="AF58" s="178"/>
      <c r="AG58" s="183"/>
      <c r="AH58" s="182"/>
      <c r="AI58" s="182"/>
      <c r="AJ58" s="182"/>
      <c r="AK58" s="182"/>
      <c r="AL58" s="182"/>
      <c r="AM58" s="182"/>
      <c r="AN58" s="182"/>
      <c r="AO58" s="182"/>
      <c r="AP58" s="182"/>
      <c r="AQ58" s="182"/>
      <c r="AR58" s="182"/>
      <c r="AS58" s="178"/>
      <c r="AT58" s="178"/>
      <c r="AU58" s="178"/>
      <c r="AV58" s="178"/>
      <c r="AW58" s="178"/>
      <c r="AX58" s="178"/>
      <c r="AY58" s="178"/>
      <c r="AZ58" s="178"/>
      <c r="BA58" s="178"/>
      <c r="BB58" s="178"/>
      <c r="BC58" s="179"/>
      <c r="BD58" s="180"/>
      <c r="BE58" s="180"/>
      <c r="BF58" s="180"/>
      <c r="BG58" s="180"/>
      <c r="BH58" s="180"/>
      <c r="BI58" s="180"/>
      <c r="BJ58" s="180"/>
      <c r="BK58" s="180"/>
      <c r="BL58" s="180"/>
      <c r="BM58" s="180"/>
      <c r="BN58" s="180"/>
      <c r="BO58" s="181"/>
      <c r="BP58" s="181"/>
      <c r="BQ58" s="181"/>
      <c r="BR58" s="181"/>
      <c r="BS58" s="181"/>
      <c r="BT58" s="181"/>
      <c r="BU58" s="181"/>
      <c r="BV58" s="181"/>
      <c r="BW58" s="181"/>
      <c r="BX58" s="181"/>
      <c r="BY58" s="181"/>
      <c r="BZ58" s="181"/>
      <c r="CA58" s="181"/>
      <c r="CB58" s="181"/>
      <c r="CC58" s="181"/>
      <c r="CD58" s="181"/>
      <c r="CE58" s="181"/>
      <c r="CF58" s="190"/>
      <c r="CG58" s="182"/>
      <c r="CH58" s="182"/>
      <c r="CI58" s="182"/>
      <c r="CJ58" s="182"/>
      <c r="CK58" s="178"/>
      <c r="CL58" s="178"/>
      <c r="CM58" s="178"/>
      <c r="CN58" s="178"/>
      <c r="CO58" s="178"/>
      <c r="CP58" s="178"/>
      <c r="CQ58" s="178"/>
      <c r="CR58" s="178"/>
      <c r="CS58" s="178"/>
      <c r="CT58" s="178"/>
      <c r="CU58" s="178"/>
      <c r="CV58" s="178"/>
      <c r="CW58" s="178"/>
      <c r="CX58" s="178"/>
      <c r="CY58" s="178"/>
      <c r="CZ58" s="178"/>
      <c r="DA58" s="178"/>
      <c r="DB58" s="178"/>
      <c r="DC58" s="183"/>
      <c r="DD58" s="182"/>
      <c r="DE58" s="182"/>
      <c r="DF58" s="182"/>
      <c r="DG58" s="182"/>
      <c r="DH58" s="182"/>
      <c r="DI58" s="182"/>
      <c r="DJ58" s="182"/>
      <c r="DK58" s="182"/>
      <c r="DL58" s="182"/>
      <c r="DM58" s="182"/>
      <c r="DN58" s="182"/>
      <c r="DO58" s="178"/>
      <c r="DP58" s="178"/>
      <c r="DQ58" s="178"/>
      <c r="DR58" s="178"/>
      <c r="DS58" s="184"/>
    </row>
    <row r="59" spans="2:123" x14ac:dyDescent="0.25">
      <c r="B59" s="1" t="str">
        <f>Base!I50</f>
        <v>402 journal de travail</v>
      </c>
      <c r="C59" s="160"/>
      <c r="D59" s="161"/>
      <c r="E59" s="161"/>
      <c r="F59" s="161"/>
      <c r="G59" s="161"/>
      <c r="H59" s="161"/>
      <c r="I59" s="161"/>
      <c r="J59" s="161"/>
      <c r="K59" s="161"/>
      <c r="L59" s="161"/>
      <c r="M59" s="161"/>
      <c r="N59" s="161"/>
      <c r="O59" s="162"/>
      <c r="P59" s="162"/>
      <c r="Q59" s="162"/>
      <c r="R59" s="162"/>
      <c r="S59" s="162"/>
      <c r="T59" s="162"/>
      <c r="U59" s="162"/>
      <c r="V59" s="162"/>
      <c r="W59" s="162"/>
      <c r="X59" s="162"/>
      <c r="Y59" s="162"/>
      <c r="Z59" s="162"/>
      <c r="AA59" s="162"/>
      <c r="AB59" s="162"/>
      <c r="AC59" s="162"/>
      <c r="AD59" s="162"/>
      <c r="AE59" s="162"/>
      <c r="AF59" s="162"/>
      <c r="AG59" s="160"/>
      <c r="AH59" s="161"/>
      <c r="AI59" s="161"/>
      <c r="AJ59" s="161"/>
      <c r="AK59" s="161"/>
      <c r="AL59" s="161"/>
      <c r="AM59" s="161"/>
      <c r="AN59" s="161"/>
      <c r="AO59" s="161"/>
      <c r="AP59" s="161"/>
      <c r="AQ59" s="161"/>
      <c r="AR59" s="161"/>
      <c r="AS59" s="162"/>
      <c r="AT59" s="162"/>
      <c r="AU59" s="162"/>
      <c r="AV59" s="162"/>
      <c r="AW59" s="162"/>
      <c r="AX59" s="162"/>
      <c r="AY59" s="162"/>
      <c r="AZ59" s="162"/>
      <c r="BA59" s="162"/>
      <c r="BB59" s="162"/>
      <c r="BC59" s="160"/>
      <c r="BD59" s="161"/>
      <c r="BE59" s="161"/>
      <c r="BF59" s="161"/>
      <c r="BG59" s="161"/>
      <c r="BH59" s="161"/>
      <c r="BI59" s="161"/>
      <c r="BJ59" s="161"/>
      <c r="BK59" s="161"/>
      <c r="BL59" s="161"/>
      <c r="BM59" s="161"/>
      <c r="BN59" s="161"/>
      <c r="BO59" s="162"/>
      <c r="BP59" s="162"/>
      <c r="BQ59" s="162"/>
      <c r="BR59" s="162"/>
      <c r="BS59" s="162"/>
      <c r="BT59" s="162"/>
      <c r="BU59" s="162"/>
      <c r="BV59" s="162"/>
      <c r="BW59" s="162"/>
      <c r="BX59" s="162"/>
      <c r="BY59" s="162"/>
      <c r="BZ59" s="162"/>
      <c r="CA59" s="162"/>
      <c r="CB59" s="162"/>
      <c r="CC59" s="162"/>
      <c r="CD59" s="162"/>
      <c r="CE59" s="162"/>
      <c r="CF59" s="163"/>
      <c r="CG59" s="161"/>
      <c r="CH59" s="161"/>
      <c r="CI59" s="161"/>
      <c r="CJ59" s="161"/>
      <c r="CK59" s="162"/>
      <c r="CL59" s="162"/>
      <c r="CM59" s="162"/>
      <c r="CN59" s="162"/>
      <c r="CO59" s="162"/>
      <c r="CP59" s="162"/>
      <c r="CQ59" s="162"/>
      <c r="CR59" s="162"/>
      <c r="CS59" s="162"/>
      <c r="CT59" s="162"/>
      <c r="CU59" s="162"/>
      <c r="CV59" s="162"/>
      <c r="CW59" s="162"/>
      <c r="CX59" s="162"/>
      <c r="CY59" s="162"/>
      <c r="CZ59" s="162"/>
      <c r="DA59" s="162"/>
      <c r="DB59" s="162"/>
      <c r="DC59" s="160"/>
      <c r="DD59" s="161"/>
      <c r="DE59" s="161"/>
      <c r="DF59" s="161"/>
      <c r="DG59" s="161"/>
      <c r="DH59" s="161"/>
      <c r="DI59" s="161"/>
      <c r="DJ59" s="161"/>
      <c r="DK59" s="161"/>
      <c r="DL59" s="161"/>
      <c r="DM59" s="161"/>
      <c r="DN59" s="161"/>
      <c r="DO59" s="162"/>
      <c r="DP59" s="162"/>
      <c r="DQ59" s="162"/>
      <c r="DR59" s="162"/>
      <c r="DS59" s="163"/>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7"/>
      <c r="DN60" s="157"/>
      <c r="DO60" s="158"/>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5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7"/>
      <c r="DL61" s="157"/>
      <c r="DM61" s="39"/>
      <c r="DN61" s="39"/>
      <c r="DO61" s="38"/>
      <c r="DP61" s="38"/>
      <c r="DQ61" s="38"/>
      <c r="DR61" s="38"/>
      <c r="DS61" s="60"/>
    </row>
    <row r="62" spans="2:123" x14ac:dyDescent="0.25">
      <c r="B62" s="1" t="str">
        <f>Base!I53</f>
        <v>405 mise en place du GitHub</v>
      </c>
      <c r="C62" s="64"/>
      <c r="D62" s="39"/>
      <c r="E62" s="39"/>
      <c r="F62" s="157"/>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4"/>
      <c r="K63" s="41"/>
      <c r="L63" s="41"/>
      <c r="M63" s="41"/>
      <c r="N63" s="41"/>
      <c r="O63" s="165"/>
      <c r="P63" s="40"/>
      <c r="Q63" s="40"/>
      <c r="R63" s="40"/>
      <c r="S63" s="40"/>
      <c r="T63" s="40"/>
      <c r="U63" s="40"/>
      <c r="V63" s="40"/>
      <c r="W63" s="40"/>
      <c r="X63" s="40"/>
      <c r="Y63" s="40"/>
      <c r="Z63" s="40"/>
      <c r="AA63" s="40"/>
      <c r="AB63" s="40"/>
      <c r="AC63" s="40"/>
      <c r="AD63" s="40"/>
      <c r="AE63" s="40"/>
      <c r="AF63" s="165"/>
      <c r="AG63" s="66"/>
      <c r="AH63" s="41"/>
      <c r="AI63" s="41"/>
      <c r="AJ63" s="41"/>
      <c r="AK63" s="41"/>
      <c r="AL63" s="41"/>
      <c r="AM63" s="41"/>
      <c r="AN63" s="41"/>
      <c r="AO63" s="41"/>
      <c r="AP63" s="41"/>
      <c r="AQ63" s="41"/>
      <c r="AR63" s="41"/>
      <c r="AS63" s="165"/>
      <c r="AT63" s="40"/>
      <c r="AU63" s="40"/>
      <c r="AV63" s="40"/>
      <c r="AW63" s="40"/>
      <c r="AX63" s="40"/>
      <c r="AY63" s="40"/>
      <c r="AZ63" s="40"/>
      <c r="BA63" s="40"/>
      <c r="BB63" s="165"/>
      <c r="BC63" s="65"/>
      <c r="BD63" s="59"/>
      <c r="BE63" s="59"/>
      <c r="BF63" s="59"/>
      <c r="BG63" s="59"/>
      <c r="BH63" s="59"/>
      <c r="BI63" s="59"/>
      <c r="BJ63" s="59"/>
      <c r="BK63" s="59"/>
      <c r="BL63" s="59"/>
      <c r="BM63" s="59"/>
      <c r="BN63" s="59"/>
      <c r="BO63" s="166"/>
      <c r="BP63" s="58"/>
      <c r="BQ63" s="58"/>
      <c r="BR63" s="58"/>
      <c r="BS63" s="58"/>
      <c r="BT63" s="58"/>
      <c r="BU63" s="58"/>
      <c r="BV63" s="58"/>
      <c r="BW63" s="58"/>
      <c r="BX63" s="58"/>
      <c r="BY63" s="58"/>
      <c r="BZ63" s="58"/>
      <c r="CA63" s="58"/>
      <c r="CB63" s="58"/>
      <c r="CC63" s="58"/>
      <c r="CD63" s="58"/>
      <c r="CE63" s="58"/>
      <c r="CF63" s="191"/>
      <c r="CG63" s="41"/>
      <c r="CH63" s="41"/>
      <c r="CI63" s="41"/>
      <c r="CJ63" s="41"/>
      <c r="CK63" s="165"/>
      <c r="CL63" s="40"/>
      <c r="CM63" s="40"/>
      <c r="CN63" s="40"/>
      <c r="CO63" s="40"/>
      <c r="CP63" s="40"/>
      <c r="CQ63" s="40"/>
      <c r="CR63" s="40"/>
      <c r="CS63" s="40"/>
      <c r="CT63" s="40"/>
      <c r="CU63" s="40"/>
      <c r="CV63" s="40"/>
      <c r="CW63" s="40"/>
      <c r="CX63" s="40"/>
      <c r="CY63" s="40"/>
      <c r="CZ63" s="40"/>
      <c r="DA63" s="40"/>
      <c r="DB63" s="165"/>
      <c r="DC63" s="66"/>
      <c r="DD63" s="41"/>
      <c r="DE63" s="41"/>
      <c r="DF63" s="41"/>
      <c r="DG63" s="41"/>
      <c r="DH63" s="41"/>
      <c r="DI63" s="41"/>
      <c r="DJ63" s="41"/>
      <c r="DK63" s="41"/>
      <c r="DL63" s="41"/>
      <c r="DM63" s="41"/>
      <c r="DN63" s="41"/>
      <c r="DO63" s="40"/>
      <c r="DP63" s="40"/>
      <c r="DQ63" s="40"/>
      <c r="DR63" s="165"/>
      <c r="DS63" s="167"/>
    </row>
    <row r="64" spans="2:123" ht="15" customHeight="1" x14ac:dyDescent="0.25">
      <c r="B64" s="230"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31"/>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44"/>
      <c r="AX66" s="44"/>
      <c r="AY66" s="44"/>
      <c r="AZ66" s="44"/>
      <c r="BA66" s="44"/>
      <c r="BB66" s="44"/>
      <c r="BC66" s="110"/>
      <c r="BD66" s="111"/>
      <c r="BE66" s="111"/>
      <c r="BF66" s="111"/>
      <c r="BG66" s="111"/>
      <c r="BH66" s="111"/>
      <c r="BI66" s="111"/>
      <c r="BJ66" s="111"/>
      <c r="BK66" s="111"/>
      <c r="BL66" s="111"/>
      <c r="BM66" s="111"/>
      <c r="BN66" s="111"/>
      <c r="BO66" s="112"/>
      <c r="BP66" s="112"/>
      <c r="BQ66" s="112"/>
      <c r="BR66" s="112"/>
      <c r="BS66" s="112"/>
      <c r="BT66" s="112"/>
      <c r="BU66" s="112"/>
      <c r="BV66" s="112"/>
      <c r="BW66" s="112"/>
      <c r="BX66" s="112"/>
      <c r="BY66" s="112"/>
      <c r="BZ66" s="112"/>
      <c r="CA66" s="112"/>
      <c r="CB66" s="112"/>
      <c r="CC66" s="112"/>
      <c r="CD66" s="112"/>
      <c r="CE66" s="112"/>
      <c r="CF66" s="185"/>
      <c r="CG66" s="182"/>
      <c r="CH66" s="182"/>
      <c r="CI66" s="182"/>
      <c r="CJ66" s="182"/>
      <c r="CK66" s="178"/>
      <c r="CL66" s="178"/>
      <c r="CM66" s="178"/>
      <c r="CN66" s="178"/>
      <c r="CO66" s="178"/>
      <c r="CP66" s="178"/>
      <c r="CQ66" s="178"/>
      <c r="CR66" s="178"/>
      <c r="CS66" s="178"/>
      <c r="CT66" s="178"/>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64"/>
      <c r="BD67" s="39"/>
      <c r="BE67" s="39"/>
      <c r="BF67" s="39"/>
      <c r="BG67" s="39"/>
      <c r="BH67" s="39"/>
      <c r="BI67" s="39"/>
      <c r="BJ67" s="39"/>
      <c r="BK67" s="39"/>
      <c r="BL67" s="39"/>
      <c r="BM67" s="39"/>
      <c r="BN67" s="39"/>
      <c r="BO67" s="38"/>
      <c r="BP67" s="38"/>
      <c r="BQ67" s="38"/>
      <c r="BR67" s="38"/>
      <c r="BS67" s="38"/>
      <c r="BT67" s="38"/>
      <c r="BU67" s="38"/>
      <c r="BV67" s="38"/>
      <c r="BW67" s="38"/>
      <c r="BX67" s="38"/>
      <c r="BY67" s="38"/>
      <c r="BZ67" s="38"/>
      <c r="CA67" s="38"/>
      <c r="CB67" s="38"/>
      <c r="CC67" s="38"/>
      <c r="CD67" s="38"/>
      <c r="CE67" s="38"/>
      <c r="CF67" s="60"/>
      <c r="CG67" s="39"/>
      <c r="CH67" s="39"/>
      <c r="CI67" s="39"/>
      <c r="CJ67" s="39"/>
      <c r="CK67" s="38"/>
      <c r="CL67" s="38"/>
      <c r="CM67" s="38"/>
      <c r="CN67" s="38"/>
      <c r="CO67" s="38"/>
      <c r="CP67" s="38"/>
      <c r="CQ67" s="38"/>
      <c r="CR67" s="38"/>
      <c r="CS67" s="38"/>
      <c r="CT67" s="38"/>
      <c r="CU67" s="38"/>
      <c r="CV67" s="38"/>
      <c r="CW67" s="38"/>
      <c r="CX67" s="38"/>
      <c r="CY67" s="38"/>
      <c r="CZ67" s="38"/>
      <c r="DA67" s="38"/>
      <c r="DB67" s="38"/>
      <c r="DC67" s="64"/>
      <c r="DD67" s="39"/>
      <c r="DE67" s="39"/>
      <c r="DF67" s="39"/>
      <c r="DG67" s="39"/>
      <c r="DH67" s="39"/>
      <c r="DI67" s="39"/>
      <c r="DJ67" s="39"/>
      <c r="DK67" s="39"/>
      <c r="DL67" s="39"/>
      <c r="DM67" s="39"/>
      <c r="DN67" s="39"/>
      <c r="DO67" s="38"/>
      <c r="DP67" s="38"/>
      <c r="DQ67" s="38"/>
      <c r="DR67" s="38"/>
      <c r="DS67" s="60"/>
    </row>
    <row r="68" spans="2:125" ht="30"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38"/>
      <c r="CV68" s="38"/>
      <c r="CW68" s="38"/>
      <c r="CX68" s="38"/>
      <c r="CY68" s="38"/>
      <c r="CZ68" s="38"/>
      <c r="DA68" s="38"/>
      <c r="DB68" s="38"/>
      <c r="DC68" s="64"/>
      <c r="DD68" s="39"/>
      <c r="DE68" s="39"/>
      <c r="DF68" s="39"/>
      <c r="DG68" s="39"/>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2"/>
      <c r="AX69" s="162"/>
      <c r="AY69" s="162"/>
      <c r="AZ69" s="162"/>
      <c r="BA69" s="162"/>
      <c r="BB69" s="162"/>
      <c r="BC69" s="160"/>
      <c r="BD69" s="161"/>
      <c r="BE69" s="161"/>
      <c r="BF69" s="161"/>
      <c r="BG69" s="161"/>
      <c r="BH69" s="161"/>
      <c r="BI69" s="161"/>
      <c r="BJ69" s="161"/>
      <c r="BK69" s="161"/>
      <c r="BL69" s="161"/>
      <c r="BM69" s="161"/>
      <c r="BN69" s="161"/>
      <c r="BO69" s="162"/>
      <c r="BP69" s="162"/>
      <c r="BQ69" s="162"/>
      <c r="BR69" s="162"/>
      <c r="BS69" s="162"/>
      <c r="BT69" s="162"/>
      <c r="BU69" s="162"/>
      <c r="BV69" s="162"/>
      <c r="BW69" s="162"/>
      <c r="BX69" s="162"/>
      <c r="BY69" s="162"/>
      <c r="BZ69" s="162"/>
      <c r="CA69" s="162"/>
      <c r="CB69" s="162"/>
      <c r="CC69" s="162"/>
      <c r="CD69" s="162"/>
      <c r="CE69" s="162"/>
      <c r="CF69" s="163"/>
      <c r="CG69" s="161"/>
      <c r="CH69" s="161"/>
      <c r="CI69" s="161"/>
      <c r="CJ69" s="161"/>
      <c r="CK69" s="162"/>
      <c r="CL69" s="162"/>
      <c r="CM69" s="162"/>
      <c r="CN69" s="162"/>
      <c r="CO69" s="162"/>
      <c r="CP69" s="162"/>
      <c r="CQ69" s="162"/>
      <c r="CR69" s="162"/>
      <c r="CS69" s="210"/>
      <c r="CT69" s="210"/>
      <c r="CU69" s="210"/>
      <c r="CV69" s="210"/>
      <c r="CW69" s="38"/>
      <c r="CX69" s="38"/>
      <c r="CY69" s="38"/>
      <c r="CZ69" s="38"/>
      <c r="DA69" s="38"/>
      <c r="DB69" s="38"/>
      <c r="DC69" s="64"/>
      <c r="DD69" s="39"/>
      <c r="DE69" s="39"/>
      <c r="DF69" s="39"/>
      <c r="DG69" s="39"/>
      <c r="DH69" s="39"/>
      <c r="DI69" s="39"/>
      <c r="DJ69" s="39"/>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8"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19"/>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1"/>
      <c r="D74" s="45"/>
      <c r="E74" s="45"/>
      <c r="F74" s="45"/>
      <c r="G74" s="45"/>
      <c r="H74" s="45"/>
      <c r="I74" s="45"/>
      <c r="J74" s="45"/>
      <c r="K74" s="45"/>
      <c r="L74" s="45"/>
      <c r="M74" s="45"/>
      <c r="N74" s="45"/>
      <c r="O74" s="44"/>
      <c r="P74" s="44"/>
      <c r="Q74" s="44"/>
      <c r="R74" s="200"/>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5"/>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2"/>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30" x14ac:dyDescent="0.25">
      <c r="B76" s="128" t="str">
        <f>Base!I63</f>
        <v>603 réunion avec monsieur O.Rutz,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209"/>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1"/>
      <c r="AA77" s="38"/>
      <c r="AB77" s="38"/>
      <c r="AC77" s="38"/>
      <c r="AD77" s="201"/>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5"/>
      <c r="D81" s="39"/>
      <c r="G81" s="217" t="s">
        <v>70</v>
      </c>
      <c r="H81" s="217"/>
      <c r="I81" s="217"/>
      <c r="J81" s="217"/>
      <c r="K81" s="217"/>
      <c r="L81" s="217"/>
      <c r="M81" s="217"/>
      <c r="N81" s="217"/>
      <c r="O81" s="217"/>
      <c r="P81" s="217"/>
      <c r="Q81" s="217"/>
      <c r="R81" s="217"/>
      <c r="S81" s="217"/>
      <c r="T81" s="217"/>
      <c r="U81" s="217"/>
      <c r="V81" s="217"/>
      <c r="W81" s="217"/>
      <c r="X81" s="217"/>
      <c r="Y81" s="217"/>
      <c r="Z81" s="217"/>
      <c r="AA81" s="217"/>
      <c r="AB81" s="217"/>
      <c r="AC81" s="217"/>
      <c r="AD81" s="217"/>
      <c r="AE81" s="217"/>
      <c r="AF81" s="217"/>
      <c r="DT81" s="33"/>
      <c r="DU81" s="33"/>
    </row>
    <row r="82" spans="3:125" x14ac:dyDescent="0.25">
      <c r="DT82" s="33"/>
      <c r="DU82" s="33"/>
    </row>
    <row r="83" spans="3:125" x14ac:dyDescent="0.25">
      <c r="D83" s="147"/>
      <c r="G83" s="217" t="s">
        <v>71</v>
      </c>
      <c r="H83" s="217"/>
      <c r="I83" s="217"/>
      <c r="J83" s="217"/>
      <c r="K83" s="217"/>
      <c r="L83" s="217"/>
      <c r="M83" s="217"/>
      <c r="N83" s="217"/>
      <c r="O83" s="217"/>
      <c r="P83" s="217"/>
      <c r="Q83" s="217"/>
      <c r="R83" s="217"/>
      <c r="S83" s="217"/>
      <c r="T83" s="217"/>
      <c r="U83" s="217"/>
      <c r="V83" s="217"/>
      <c r="W83" s="217"/>
      <c r="X83" s="217"/>
      <c r="Y83" s="217"/>
      <c r="Z83" s="217"/>
      <c r="AA83" s="217"/>
      <c r="AB83" s="217"/>
      <c r="AC83" s="217"/>
      <c r="AD83" s="217"/>
      <c r="AE83" s="217"/>
      <c r="AF83" s="217"/>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C3:J3"/>
    <mergeCell ref="K3:O3"/>
    <mergeCell ref="P3:X3"/>
    <mergeCell ref="Y3:AF3"/>
    <mergeCell ref="AG3:AN3"/>
    <mergeCell ref="AO3:AS3"/>
    <mergeCell ref="AT3:BB3"/>
    <mergeCell ref="BC3:BJ3"/>
    <mergeCell ref="BK3:BO3"/>
    <mergeCell ref="DK3:DO3"/>
    <mergeCell ref="DP3:DS3"/>
    <mergeCell ref="C4:AF4"/>
    <mergeCell ref="AG4:BB4"/>
    <mergeCell ref="BC4:CF4"/>
    <mergeCell ref="CG4:DB4"/>
    <mergeCell ref="DC4:DS4"/>
    <mergeCell ref="BP3:BX3"/>
    <mergeCell ref="BY3:CF3"/>
    <mergeCell ref="CG3:CK3"/>
    <mergeCell ref="CL3:CT3"/>
    <mergeCell ref="CU3:DB3"/>
    <mergeCell ref="DC3:DJ3"/>
    <mergeCell ref="G81:AF81"/>
    <mergeCell ref="G83:AF83"/>
    <mergeCell ref="B5:B6"/>
    <mergeCell ref="B13:B14"/>
    <mergeCell ref="B31:B32"/>
    <mergeCell ref="B56:B57"/>
    <mergeCell ref="B64:B65"/>
    <mergeCell ref="B72:B7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72"/>
  <sheetViews>
    <sheetView tabSelected="1" topLeftCell="A136" zoomScale="85" zoomScaleNormal="85" workbookViewId="0">
      <selection activeCell="D153" sqref="D153"/>
    </sheetView>
  </sheetViews>
  <sheetFormatPr baseColWidth="10" defaultColWidth="11.42578125" defaultRowHeight="15" x14ac:dyDescent="0.25"/>
  <cols>
    <col min="1" max="1" width="2" style="17" customWidth="1"/>
    <col min="2" max="2" width="10.28515625" style="100" bestFit="1" customWidth="1"/>
    <col min="3" max="3" width="8.7109375" style="19" customWidth="1"/>
    <col min="4" max="4" width="32" style="19" customWidth="1"/>
    <col min="5" max="5" width="14" style="19" customWidth="1"/>
    <col min="6" max="6" width="11.42578125" style="19" customWidth="1"/>
    <col min="7" max="7" width="9.7109375" style="19" customWidth="1"/>
    <col min="8" max="8" width="85.7109375" style="19" customWidth="1"/>
    <col min="9" max="16384" width="11.42578125" style="17"/>
  </cols>
  <sheetData>
    <row r="1" spans="2:8" x14ac:dyDescent="0.25">
      <c r="C1" s="18" t="s">
        <v>2</v>
      </c>
      <c r="D1" s="238" t="str">
        <f>CONCATENATE(Base!C6," ",Base!D6)</f>
        <v>Costa Paola</v>
      </c>
      <c r="E1" s="238"/>
      <c r="G1" s="20" t="s">
        <v>25</v>
      </c>
      <c r="H1" s="202">
        <f ca="1">TODAY()</f>
        <v>44347</v>
      </c>
    </row>
    <row r="2" spans="2:8" ht="42.75" customHeight="1" thickBot="1" x14ac:dyDescent="0.3">
      <c r="B2" s="239" t="s">
        <v>10</v>
      </c>
      <c r="C2" s="239"/>
      <c r="D2" s="239"/>
      <c r="E2" s="239"/>
      <c r="F2" s="239"/>
      <c r="G2" s="239"/>
      <c r="H2" s="239"/>
    </row>
    <row r="3" spans="2:8" s="99" customFormat="1" ht="15.75" thickBot="1" x14ac:dyDescent="0.3">
      <c r="B3" s="101" t="s">
        <v>0</v>
      </c>
      <c r="C3" s="98" t="s">
        <v>9</v>
      </c>
      <c r="D3" s="195" t="s">
        <v>37</v>
      </c>
      <c r="E3" s="205" t="s">
        <v>26</v>
      </c>
      <c r="F3" s="205" t="s">
        <v>27</v>
      </c>
      <c r="G3" s="103" t="s">
        <v>28</v>
      </c>
      <c r="H3" s="203" t="s">
        <v>1</v>
      </c>
    </row>
    <row r="4" spans="2:8" ht="30" x14ac:dyDescent="0.25">
      <c r="B4" s="143">
        <v>44319</v>
      </c>
      <c r="C4" s="106">
        <f>IF(ISBLANK(B4),"",_xlfn.ISOWEEKNUM(B4))</f>
        <v>18</v>
      </c>
      <c r="D4" s="21" t="s">
        <v>63</v>
      </c>
      <c r="E4" s="170">
        <v>0.37152777777777773</v>
      </c>
      <c r="F4" s="168">
        <v>0.3888888888888889</v>
      </c>
      <c r="G4" s="104">
        <f>F4-E4</f>
        <v>1.736111111111116E-2</v>
      </c>
      <c r="H4" s="204" t="s">
        <v>101</v>
      </c>
    </row>
    <row r="5" spans="2:8" ht="45" x14ac:dyDescent="0.25">
      <c r="B5" s="143">
        <v>44319</v>
      </c>
      <c r="C5" s="106">
        <f t="shared" ref="C5:C165" si="0">IF(ISBLANK(B5),"",_xlfn.ISOWEEKNUM(B5))</f>
        <v>18</v>
      </c>
      <c r="D5" s="21" t="s">
        <v>62</v>
      </c>
      <c r="E5" s="169">
        <v>0.3888888888888889</v>
      </c>
      <c r="F5" s="168">
        <v>0.39930555555555558</v>
      </c>
      <c r="G5" s="104">
        <f t="shared" ref="G5:G165" si="1">F5-E5</f>
        <v>1.0416666666666685E-2</v>
      </c>
      <c r="H5" s="204" t="s">
        <v>102</v>
      </c>
    </row>
    <row r="6" spans="2:8" ht="30" x14ac:dyDescent="0.25">
      <c r="B6" s="143">
        <v>44319</v>
      </c>
      <c r="C6" s="106">
        <f t="shared" si="0"/>
        <v>18</v>
      </c>
      <c r="D6" s="21" t="s">
        <v>94</v>
      </c>
      <c r="E6" s="168">
        <v>0.41319444444444442</v>
      </c>
      <c r="F6" s="168">
        <v>0.4548611111111111</v>
      </c>
      <c r="G6" s="104">
        <f t="shared" si="1"/>
        <v>4.1666666666666685E-2</v>
      </c>
      <c r="H6" s="204" t="s">
        <v>104</v>
      </c>
    </row>
    <row r="7" spans="2:8" x14ac:dyDescent="0.25">
      <c r="B7" s="143">
        <v>44319</v>
      </c>
      <c r="C7" s="106">
        <f t="shared" si="0"/>
        <v>18</v>
      </c>
      <c r="D7" s="21" t="s">
        <v>49</v>
      </c>
      <c r="E7" s="168">
        <v>0.4548611111111111</v>
      </c>
      <c r="F7" s="168">
        <v>0.45833333333333331</v>
      </c>
      <c r="G7" s="104">
        <f t="shared" si="1"/>
        <v>3.4722222222222099E-3</v>
      </c>
      <c r="H7" s="204" t="s">
        <v>105</v>
      </c>
    </row>
    <row r="8" spans="2:8" x14ac:dyDescent="0.25">
      <c r="B8" s="143">
        <v>44319</v>
      </c>
      <c r="C8" s="106">
        <f t="shared" si="0"/>
        <v>18</v>
      </c>
      <c r="D8" s="21" t="s">
        <v>52</v>
      </c>
      <c r="E8" s="168">
        <v>0.45833333333333331</v>
      </c>
      <c r="F8" s="168">
        <v>0.48958333333333331</v>
      </c>
      <c r="G8" s="104">
        <f t="shared" si="1"/>
        <v>3.125E-2</v>
      </c>
      <c r="H8" s="204" t="s">
        <v>106</v>
      </c>
    </row>
    <row r="9" spans="2:8" ht="45" x14ac:dyDescent="0.25">
      <c r="B9" s="143">
        <v>44319</v>
      </c>
      <c r="C9" s="106">
        <f t="shared" si="0"/>
        <v>18</v>
      </c>
      <c r="D9" s="21" t="s">
        <v>74</v>
      </c>
      <c r="E9" s="168">
        <v>0.48958333333333331</v>
      </c>
      <c r="F9" s="168">
        <v>0.51041666666666663</v>
      </c>
      <c r="G9" s="104">
        <f t="shared" si="1"/>
        <v>2.0833333333333315E-2</v>
      </c>
      <c r="H9" s="204" t="s">
        <v>109</v>
      </c>
    </row>
    <row r="10" spans="2:8" ht="45" x14ac:dyDescent="0.25">
      <c r="B10" s="143">
        <v>44319</v>
      </c>
      <c r="C10" s="106">
        <f t="shared" si="0"/>
        <v>18</v>
      </c>
      <c r="D10" s="21" t="s">
        <v>98</v>
      </c>
      <c r="E10" s="168">
        <v>0.5625</v>
      </c>
      <c r="F10" s="168">
        <v>0.57986111111111105</v>
      </c>
      <c r="G10" s="104">
        <f t="shared" si="1"/>
        <v>1.7361111111111049E-2</v>
      </c>
      <c r="H10" s="204" t="s">
        <v>110</v>
      </c>
    </row>
    <row r="11" spans="2:8" x14ac:dyDescent="0.25">
      <c r="B11" s="143">
        <v>44319</v>
      </c>
      <c r="C11" s="106">
        <f t="shared" si="0"/>
        <v>18</v>
      </c>
      <c r="D11" s="21" t="s">
        <v>77</v>
      </c>
      <c r="E11" s="168">
        <v>0.57986111111111105</v>
      </c>
      <c r="F11" s="168">
        <v>0.59722222222222221</v>
      </c>
      <c r="G11" s="104">
        <f t="shared" si="1"/>
        <v>1.736111111111116E-2</v>
      </c>
      <c r="H11" s="204" t="s">
        <v>111</v>
      </c>
    </row>
    <row r="12" spans="2:8" ht="30" x14ac:dyDescent="0.25">
      <c r="B12" s="143">
        <v>44319</v>
      </c>
      <c r="C12" s="106">
        <f t="shared" si="0"/>
        <v>18</v>
      </c>
      <c r="D12" s="21" t="s">
        <v>95</v>
      </c>
      <c r="E12" s="168">
        <v>0.59722222222222221</v>
      </c>
      <c r="F12" s="168">
        <v>0.61111111111111105</v>
      </c>
      <c r="G12" s="104">
        <f t="shared" si="1"/>
        <v>1.388888888888884E-2</v>
      </c>
      <c r="H12" s="204" t="s">
        <v>112</v>
      </c>
    </row>
    <row r="13" spans="2:8" ht="30" x14ac:dyDescent="0.25">
      <c r="B13" s="143">
        <v>44319</v>
      </c>
      <c r="C13" s="106">
        <f t="shared" si="0"/>
        <v>18</v>
      </c>
      <c r="D13" s="21" t="s">
        <v>98</v>
      </c>
      <c r="E13" s="168">
        <v>0.61111111111111105</v>
      </c>
      <c r="F13" s="168">
        <v>0.62847222222222221</v>
      </c>
      <c r="G13" s="104">
        <f t="shared" si="1"/>
        <v>1.736111111111116E-2</v>
      </c>
      <c r="H13" s="204" t="s">
        <v>113</v>
      </c>
    </row>
    <row r="14" spans="2:8" x14ac:dyDescent="0.25">
      <c r="B14" s="143">
        <v>44319</v>
      </c>
      <c r="C14" s="106">
        <f t="shared" si="0"/>
        <v>18</v>
      </c>
      <c r="D14" s="21" t="s">
        <v>53</v>
      </c>
      <c r="E14" s="168">
        <v>0.64236111111111105</v>
      </c>
      <c r="F14" s="168">
        <v>0.65972222222222221</v>
      </c>
      <c r="G14" s="104">
        <f t="shared" si="1"/>
        <v>1.736111111111116E-2</v>
      </c>
      <c r="H14" s="204" t="s">
        <v>114</v>
      </c>
    </row>
    <row r="15" spans="2:8" ht="30" x14ac:dyDescent="0.25">
      <c r="B15" s="143">
        <v>44319</v>
      </c>
      <c r="C15" s="106">
        <f t="shared" si="0"/>
        <v>18</v>
      </c>
      <c r="D15" s="21" t="s">
        <v>98</v>
      </c>
      <c r="E15" s="168">
        <v>0.65972222222222221</v>
      </c>
      <c r="F15" s="168">
        <v>0.67708333333333337</v>
      </c>
      <c r="G15" s="104">
        <f t="shared" si="1"/>
        <v>1.736111111111116E-2</v>
      </c>
      <c r="H15" s="204" t="s">
        <v>115</v>
      </c>
    </row>
    <row r="16" spans="2:8" x14ac:dyDescent="0.25">
      <c r="B16" s="143">
        <v>44319</v>
      </c>
      <c r="C16" s="106">
        <f t="shared" si="0"/>
        <v>18</v>
      </c>
      <c r="D16" s="21" t="s">
        <v>69</v>
      </c>
      <c r="E16" s="168">
        <v>0.67708333333333337</v>
      </c>
      <c r="F16" s="168">
        <v>0.70833333333333337</v>
      </c>
      <c r="G16" s="104">
        <f t="shared" si="1"/>
        <v>3.125E-2</v>
      </c>
      <c r="H16" s="204" t="s">
        <v>118</v>
      </c>
    </row>
    <row r="17" spans="2:8" ht="30" x14ac:dyDescent="0.25">
      <c r="B17" s="143">
        <v>44320</v>
      </c>
      <c r="C17" s="106">
        <f t="shared" si="0"/>
        <v>18</v>
      </c>
      <c r="D17" s="21" t="s">
        <v>49</v>
      </c>
      <c r="E17" s="168">
        <v>0.40972222222222227</v>
      </c>
      <c r="F17" s="168">
        <v>0.41666666666666669</v>
      </c>
      <c r="G17" s="104">
        <f t="shared" si="1"/>
        <v>6.9444444444444198E-3</v>
      </c>
      <c r="H17" s="204" t="s">
        <v>117</v>
      </c>
    </row>
    <row r="18" spans="2:8" ht="30" x14ac:dyDescent="0.25">
      <c r="B18" s="143">
        <v>44320</v>
      </c>
      <c r="C18" s="106">
        <f t="shared" si="0"/>
        <v>18</v>
      </c>
      <c r="D18" s="21" t="s">
        <v>69</v>
      </c>
      <c r="E18" s="168">
        <v>0.41666666666666669</v>
      </c>
      <c r="F18" s="168">
        <v>0.4375</v>
      </c>
      <c r="G18" s="104">
        <f t="shared" si="1"/>
        <v>2.0833333333333315E-2</v>
      </c>
      <c r="H18" s="204" t="s">
        <v>119</v>
      </c>
    </row>
    <row r="19" spans="2:8" ht="45" x14ac:dyDescent="0.25">
      <c r="B19" s="143">
        <v>44320</v>
      </c>
      <c r="C19" s="106">
        <f t="shared" si="0"/>
        <v>18</v>
      </c>
      <c r="D19" s="21" t="s">
        <v>55</v>
      </c>
      <c r="E19" s="168">
        <v>0.4375</v>
      </c>
      <c r="F19" s="168">
        <v>0.47222222222222227</v>
      </c>
      <c r="G19" s="104">
        <f t="shared" si="1"/>
        <v>3.4722222222222265E-2</v>
      </c>
      <c r="H19" s="204" t="s">
        <v>120</v>
      </c>
    </row>
    <row r="20" spans="2:8" ht="31.5" customHeight="1" x14ac:dyDescent="0.25">
      <c r="B20" s="143">
        <v>44320</v>
      </c>
      <c r="C20" s="106">
        <f t="shared" si="0"/>
        <v>18</v>
      </c>
      <c r="D20" s="21" t="s">
        <v>76</v>
      </c>
      <c r="E20" s="168">
        <v>0.47222222222222227</v>
      </c>
      <c r="F20" s="168">
        <v>0.4861111111111111</v>
      </c>
      <c r="G20" s="104">
        <f t="shared" si="1"/>
        <v>1.388888888888884E-2</v>
      </c>
      <c r="H20" s="204" t="s">
        <v>121</v>
      </c>
    </row>
    <row r="21" spans="2:8" ht="30" x14ac:dyDescent="0.25">
      <c r="B21" s="143">
        <v>44320</v>
      </c>
      <c r="C21" s="106">
        <f t="shared" si="0"/>
        <v>18</v>
      </c>
      <c r="D21" s="21" t="s">
        <v>56</v>
      </c>
      <c r="E21" s="168">
        <v>0.4861111111111111</v>
      </c>
      <c r="F21" s="168">
        <v>0.51041666666666663</v>
      </c>
      <c r="G21" s="104">
        <f t="shared" si="1"/>
        <v>2.4305555555555525E-2</v>
      </c>
      <c r="H21" s="204" t="s">
        <v>122</v>
      </c>
    </row>
    <row r="22" spans="2:8" ht="45" x14ac:dyDescent="0.25">
      <c r="B22" s="143">
        <v>44320</v>
      </c>
      <c r="C22" s="106">
        <f t="shared" si="0"/>
        <v>18</v>
      </c>
      <c r="D22" s="21" t="s">
        <v>56</v>
      </c>
      <c r="E22" s="168">
        <v>0.64236111111111105</v>
      </c>
      <c r="F22" s="168">
        <v>0.67708333333333337</v>
      </c>
      <c r="G22" s="104">
        <f t="shared" si="1"/>
        <v>3.4722222222222321E-2</v>
      </c>
      <c r="H22" s="204" t="s">
        <v>123</v>
      </c>
    </row>
    <row r="23" spans="2:8" ht="45" x14ac:dyDescent="0.25">
      <c r="B23" s="143">
        <v>44320</v>
      </c>
      <c r="C23" s="106">
        <f t="shared" si="0"/>
        <v>18</v>
      </c>
      <c r="D23" s="21" t="s">
        <v>98</v>
      </c>
      <c r="E23" s="168">
        <v>0.67708333333333337</v>
      </c>
      <c r="F23" s="168">
        <v>0.69791666666666663</v>
      </c>
      <c r="G23" s="104">
        <f t="shared" si="1"/>
        <v>2.0833333333333259E-2</v>
      </c>
      <c r="H23" s="204" t="s">
        <v>124</v>
      </c>
    </row>
    <row r="24" spans="2:8" ht="30" x14ac:dyDescent="0.25">
      <c r="B24" s="143">
        <v>44320</v>
      </c>
      <c r="C24" s="106">
        <f t="shared" si="0"/>
        <v>18</v>
      </c>
      <c r="D24" s="21" t="s">
        <v>100</v>
      </c>
      <c r="E24" s="168">
        <v>0.69791666666666663</v>
      </c>
      <c r="F24" s="168">
        <v>0.70486111111111116</v>
      </c>
      <c r="G24" s="104">
        <f t="shared" si="1"/>
        <v>6.9444444444445308E-3</v>
      </c>
      <c r="H24" s="204" t="s">
        <v>126</v>
      </c>
    </row>
    <row r="25" spans="2:8" ht="45" x14ac:dyDescent="0.25">
      <c r="B25" s="143">
        <v>44321</v>
      </c>
      <c r="C25" s="106">
        <f t="shared" si="0"/>
        <v>18</v>
      </c>
      <c r="D25" s="21" t="s">
        <v>56</v>
      </c>
      <c r="E25" s="168">
        <v>0.35069444444444442</v>
      </c>
      <c r="F25" s="168">
        <v>0.3923611111111111</v>
      </c>
      <c r="G25" s="104">
        <f t="shared" si="1"/>
        <v>4.1666666666666685E-2</v>
      </c>
      <c r="H25" s="204" t="s">
        <v>127</v>
      </c>
    </row>
    <row r="26" spans="2:8" ht="30" x14ac:dyDescent="0.25">
      <c r="B26" s="143">
        <v>44321</v>
      </c>
      <c r="C26" s="106">
        <f t="shared" si="0"/>
        <v>18</v>
      </c>
      <c r="D26" s="21" t="s">
        <v>107</v>
      </c>
      <c r="E26" s="168">
        <v>0.3923611111111111</v>
      </c>
      <c r="F26" s="168">
        <v>0.39930555555555558</v>
      </c>
      <c r="G26" s="104">
        <f t="shared" si="1"/>
        <v>6.9444444444444753E-3</v>
      </c>
      <c r="H26" s="204" t="s">
        <v>128</v>
      </c>
    </row>
    <row r="27" spans="2:8" ht="30" x14ac:dyDescent="0.25">
      <c r="B27" s="143">
        <v>44321</v>
      </c>
      <c r="C27" s="106">
        <f t="shared" si="0"/>
        <v>18</v>
      </c>
      <c r="D27" s="21" t="s">
        <v>107</v>
      </c>
      <c r="E27" s="168">
        <v>0.40972222222222227</v>
      </c>
      <c r="F27" s="168">
        <v>0.4236111111111111</v>
      </c>
      <c r="G27" s="104">
        <f t="shared" si="1"/>
        <v>1.388888888888884E-2</v>
      </c>
      <c r="H27" s="204" t="s">
        <v>130</v>
      </c>
    </row>
    <row r="28" spans="2:8" ht="75" x14ac:dyDescent="0.25">
      <c r="B28" s="143">
        <v>44321</v>
      </c>
      <c r="C28" s="106">
        <f t="shared" si="0"/>
        <v>18</v>
      </c>
      <c r="D28" s="21" t="s">
        <v>62</v>
      </c>
      <c r="E28" s="168">
        <v>0.4236111111111111</v>
      </c>
      <c r="F28" s="168">
        <v>0.43055555555555558</v>
      </c>
      <c r="G28" s="104">
        <f t="shared" si="1"/>
        <v>6.9444444444444753E-3</v>
      </c>
      <c r="H28" s="204" t="s">
        <v>129</v>
      </c>
    </row>
    <row r="29" spans="2:8" ht="45" x14ac:dyDescent="0.25">
      <c r="B29" s="143">
        <v>44321</v>
      </c>
      <c r="C29" s="106">
        <f t="shared" si="0"/>
        <v>18</v>
      </c>
      <c r="D29" s="21" t="s">
        <v>51</v>
      </c>
      <c r="E29" s="168">
        <v>0.43402777777777773</v>
      </c>
      <c r="F29" s="168">
        <v>0.4513888888888889</v>
      </c>
      <c r="G29" s="104">
        <f t="shared" si="1"/>
        <v>1.736111111111116E-2</v>
      </c>
      <c r="H29" s="204" t="s">
        <v>132</v>
      </c>
    </row>
    <row r="30" spans="2:8" ht="30" x14ac:dyDescent="0.25">
      <c r="B30" s="143">
        <v>44321</v>
      </c>
      <c r="C30" s="106">
        <f t="shared" si="0"/>
        <v>18</v>
      </c>
      <c r="D30" s="21" t="s">
        <v>55</v>
      </c>
      <c r="E30" s="168">
        <v>0.4548611111111111</v>
      </c>
      <c r="F30" s="168">
        <v>0.47222222222222227</v>
      </c>
      <c r="G30" s="104">
        <f t="shared" si="1"/>
        <v>1.736111111111116E-2</v>
      </c>
      <c r="H30" s="204" t="s">
        <v>134</v>
      </c>
    </row>
    <row r="31" spans="2:8" ht="30" x14ac:dyDescent="0.25">
      <c r="B31" s="143">
        <v>44321</v>
      </c>
      <c r="C31" s="106">
        <f t="shared" si="0"/>
        <v>18</v>
      </c>
      <c r="D31" s="21" t="s">
        <v>98</v>
      </c>
      <c r="E31" s="168">
        <v>0.47222222222222227</v>
      </c>
      <c r="F31" s="168">
        <v>0.47916666666666669</v>
      </c>
      <c r="G31" s="104">
        <f t="shared" si="1"/>
        <v>6.9444444444444198E-3</v>
      </c>
      <c r="H31" s="204" t="s">
        <v>135</v>
      </c>
    </row>
    <row r="32" spans="2:8" ht="45" x14ac:dyDescent="0.25">
      <c r="B32" s="143">
        <v>44321</v>
      </c>
      <c r="C32" s="106">
        <f t="shared" si="0"/>
        <v>18</v>
      </c>
      <c r="D32" s="21" t="s">
        <v>58</v>
      </c>
      <c r="E32" s="168">
        <v>0.4826388888888889</v>
      </c>
      <c r="F32" s="168">
        <v>0.50347222222222221</v>
      </c>
      <c r="G32" s="104">
        <f t="shared" si="1"/>
        <v>2.0833333333333315E-2</v>
      </c>
      <c r="H32" s="204" t="s">
        <v>136</v>
      </c>
    </row>
    <row r="33" spans="2:8" ht="45" x14ac:dyDescent="0.25">
      <c r="B33" s="143">
        <v>44321</v>
      </c>
      <c r="C33" s="106">
        <f t="shared" si="0"/>
        <v>18</v>
      </c>
      <c r="D33" s="21" t="s">
        <v>58</v>
      </c>
      <c r="E33" s="168">
        <v>0.56944444444444442</v>
      </c>
      <c r="F33" s="168">
        <v>0.57986111111111105</v>
      </c>
      <c r="G33" s="104">
        <f t="shared" si="1"/>
        <v>1.041666666666663E-2</v>
      </c>
      <c r="H33" s="204" t="s">
        <v>137</v>
      </c>
    </row>
    <row r="34" spans="2:8" ht="45" x14ac:dyDescent="0.25">
      <c r="B34" s="143">
        <v>44321</v>
      </c>
      <c r="C34" s="106">
        <f t="shared" si="0"/>
        <v>18</v>
      </c>
      <c r="D34" s="21" t="s">
        <v>54</v>
      </c>
      <c r="E34" s="168">
        <v>0.59375</v>
      </c>
      <c r="F34" s="168">
        <v>0.62847222222222221</v>
      </c>
      <c r="G34" s="104">
        <f t="shared" si="1"/>
        <v>3.472222222222221E-2</v>
      </c>
      <c r="H34" s="204" t="s">
        <v>139</v>
      </c>
    </row>
    <row r="35" spans="2:8" ht="30" x14ac:dyDescent="0.25">
      <c r="B35" s="143">
        <v>44321</v>
      </c>
      <c r="C35" s="106">
        <f t="shared" si="0"/>
        <v>18</v>
      </c>
      <c r="D35" s="21" t="s">
        <v>55</v>
      </c>
      <c r="E35" s="168">
        <v>0.63888888888888895</v>
      </c>
      <c r="F35" s="168">
        <v>0.64236111111111105</v>
      </c>
      <c r="G35" s="104">
        <f t="shared" si="1"/>
        <v>3.4722222222220989E-3</v>
      </c>
      <c r="H35" s="204" t="s">
        <v>140</v>
      </c>
    </row>
    <row r="36" spans="2:8" ht="30" x14ac:dyDescent="0.25">
      <c r="B36" s="143">
        <v>44321</v>
      </c>
      <c r="C36" s="106">
        <f t="shared" si="0"/>
        <v>18</v>
      </c>
      <c r="D36" s="21" t="s">
        <v>61</v>
      </c>
      <c r="E36" s="168">
        <v>0.64236111111111105</v>
      </c>
      <c r="F36" s="168">
        <v>0.66666666666666663</v>
      </c>
      <c r="G36" s="104">
        <f t="shared" si="1"/>
        <v>2.430555555555558E-2</v>
      </c>
      <c r="H36" s="204" t="s">
        <v>141</v>
      </c>
    </row>
    <row r="37" spans="2:8" ht="30" x14ac:dyDescent="0.25">
      <c r="B37" s="143">
        <v>44321</v>
      </c>
      <c r="C37" s="106">
        <f t="shared" si="0"/>
        <v>18</v>
      </c>
      <c r="D37" s="21" t="s">
        <v>98</v>
      </c>
      <c r="E37" s="168">
        <v>0.68402777777777779</v>
      </c>
      <c r="F37" s="168">
        <v>0.69791666666666663</v>
      </c>
      <c r="G37" s="104">
        <f t="shared" si="1"/>
        <v>1.388888888888884E-2</v>
      </c>
      <c r="H37" s="204" t="s">
        <v>143</v>
      </c>
    </row>
    <row r="38" spans="2:8" ht="30" x14ac:dyDescent="0.25">
      <c r="B38" s="143">
        <v>44322</v>
      </c>
      <c r="C38" s="106">
        <f t="shared" si="0"/>
        <v>18</v>
      </c>
      <c r="D38" s="21" t="s">
        <v>98</v>
      </c>
      <c r="E38" s="168">
        <v>0.33333333333333331</v>
      </c>
      <c r="F38" s="168">
        <v>0.34375</v>
      </c>
      <c r="G38" s="104">
        <f t="shared" si="1"/>
        <v>1.0416666666666685E-2</v>
      </c>
      <c r="H38" s="204" t="s">
        <v>144</v>
      </c>
    </row>
    <row r="39" spans="2:8" ht="30" x14ac:dyDescent="0.25">
      <c r="B39" s="143">
        <v>44322</v>
      </c>
      <c r="C39" s="106">
        <f t="shared" si="0"/>
        <v>18</v>
      </c>
      <c r="D39" s="21" t="s">
        <v>59</v>
      </c>
      <c r="E39" s="168">
        <v>0.34375</v>
      </c>
      <c r="F39" s="168">
        <v>0.35416666666666669</v>
      </c>
      <c r="G39" s="104">
        <f t="shared" si="1"/>
        <v>1.0416666666666685E-2</v>
      </c>
      <c r="H39" s="204" t="s">
        <v>145</v>
      </c>
    </row>
    <row r="40" spans="2:8" x14ac:dyDescent="0.25">
      <c r="B40" s="143">
        <v>44322</v>
      </c>
      <c r="C40" s="106">
        <f t="shared" si="0"/>
        <v>18</v>
      </c>
      <c r="D40" s="21" t="s">
        <v>59</v>
      </c>
      <c r="E40" s="168">
        <v>0.35416666666666669</v>
      </c>
      <c r="F40" s="168">
        <v>0.38541666666666669</v>
      </c>
      <c r="G40" s="104">
        <f t="shared" si="1"/>
        <v>3.125E-2</v>
      </c>
      <c r="H40" s="204" t="s">
        <v>146</v>
      </c>
    </row>
    <row r="41" spans="2:8" ht="45" customHeight="1" x14ac:dyDescent="0.25">
      <c r="B41" s="143">
        <v>44322</v>
      </c>
      <c r="C41" s="106">
        <f t="shared" si="0"/>
        <v>18</v>
      </c>
      <c r="D41" s="21" t="s">
        <v>64</v>
      </c>
      <c r="E41" s="168">
        <v>0.38541666666666669</v>
      </c>
      <c r="F41" s="168">
        <v>0.3923611111111111</v>
      </c>
      <c r="G41" s="104">
        <f t="shared" si="1"/>
        <v>6.9444444444444198E-3</v>
      </c>
      <c r="H41" s="204" t="s">
        <v>148</v>
      </c>
    </row>
    <row r="42" spans="2:8" x14ac:dyDescent="0.25">
      <c r="B42" s="143">
        <v>44322</v>
      </c>
      <c r="C42" s="106">
        <f t="shared" si="0"/>
        <v>18</v>
      </c>
      <c r="D42" s="21" t="s">
        <v>59</v>
      </c>
      <c r="E42" s="168">
        <v>0.3923611111111111</v>
      </c>
      <c r="F42" s="168">
        <v>0.39930555555555558</v>
      </c>
      <c r="G42" s="104">
        <f t="shared" si="1"/>
        <v>6.9444444444444753E-3</v>
      </c>
      <c r="H42" s="204" t="s">
        <v>149</v>
      </c>
    </row>
    <row r="43" spans="2:8" x14ac:dyDescent="0.25">
      <c r="B43" s="143">
        <v>44322</v>
      </c>
      <c r="C43" s="106">
        <f t="shared" si="0"/>
        <v>18</v>
      </c>
      <c r="D43" s="21" t="s">
        <v>59</v>
      </c>
      <c r="E43" s="198">
        <v>0.40972222222222227</v>
      </c>
      <c r="F43" s="168">
        <v>0.44444444444444442</v>
      </c>
      <c r="G43" s="104">
        <f t="shared" si="1"/>
        <v>3.4722222222222154E-2</v>
      </c>
      <c r="H43" s="204" t="s">
        <v>150</v>
      </c>
    </row>
    <row r="44" spans="2:8" ht="45" x14ac:dyDescent="0.25">
      <c r="B44" s="143">
        <v>44322</v>
      </c>
      <c r="C44" s="106">
        <f t="shared" si="0"/>
        <v>18</v>
      </c>
      <c r="D44" s="21" t="s">
        <v>57</v>
      </c>
      <c r="E44" s="168">
        <v>0.44791666666666669</v>
      </c>
      <c r="F44" s="168">
        <v>0.46180555555555558</v>
      </c>
      <c r="G44" s="104">
        <f t="shared" si="1"/>
        <v>1.3888888888888895E-2</v>
      </c>
      <c r="H44" s="204" t="s">
        <v>151</v>
      </c>
    </row>
    <row r="45" spans="2:8" x14ac:dyDescent="0.25">
      <c r="B45" s="143">
        <v>44322</v>
      </c>
      <c r="C45" s="106">
        <f t="shared" si="0"/>
        <v>18</v>
      </c>
      <c r="D45" s="21" t="s">
        <v>60</v>
      </c>
      <c r="E45" s="168">
        <v>0.46527777777777773</v>
      </c>
      <c r="F45" s="168">
        <v>0.49305555555555558</v>
      </c>
      <c r="G45" s="104">
        <f t="shared" si="1"/>
        <v>2.7777777777777846E-2</v>
      </c>
      <c r="H45" s="204" t="s">
        <v>152</v>
      </c>
    </row>
    <row r="46" spans="2:8" ht="30" x14ac:dyDescent="0.25">
      <c r="B46" s="143">
        <v>44322</v>
      </c>
      <c r="C46" s="106">
        <f t="shared" si="0"/>
        <v>18</v>
      </c>
      <c r="D46" s="21" t="s">
        <v>98</v>
      </c>
      <c r="E46" s="168">
        <v>0.49305555555555558</v>
      </c>
      <c r="F46" s="168">
        <v>0.5</v>
      </c>
      <c r="G46" s="104">
        <f t="shared" si="1"/>
        <v>6.9444444444444198E-3</v>
      </c>
      <c r="H46" s="204" t="s">
        <v>153</v>
      </c>
    </row>
    <row r="47" spans="2:8" ht="30" customHeight="1" x14ac:dyDescent="0.25">
      <c r="B47" s="143">
        <v>44322</v>
      </c>
      <c r="C47" s="106">
        <f t="shared" si="0"/>
        <v>18</v>
      </c>
      <c r="D47" s="21" t="s">
        <v>142</v>
      </c>
      <c r="E47" s="168">
        <v>0.5625</v>
      </c>
      <c r="F47" s="168">
        <v>0.58333333333333337</v>
      </c>
      <c r="G47" s="104">
        <f t="shared" si="1"/>
        <v>2.083333333333337E-2</v>
      </c>
      <c r="H47" s="204" t="s">
        <v>154</v>
      </c>
    </row>
    <row r="48" spans="2:8" ht="30" x14ac:dyDescent="0.25">
      <c r="B48" s="143">
        <v>44322</v>
      </c>
      <c r="C48" s="106">
        <f t="shared" si="0"/>
        <v>18</v>
      </c>
      <c r="D48" s="21" t="s">
        <v>64</v>
      </c>
      <c r="E48" s="168">
        <v>0.58333333333333337</v>
      </c>
      <c r="F48" s="168">
        <v>0.58680555555555558</v>
      </c>
      <c r="G48" s="104">
        <f t="shared" si="1"/>
        <v>3.4722222222222099E-3</v>
      </c>
      <c r="H48" s="204" t="s">
        <v>155</v>
      </c>
    </row>
    <row r="49" spans="2:8" x14ac:dyDescent="0.25">
      <c r="B49" s="143">
        <v>44322</v>
      </c>
      <c r="C49" s="106">
        <f t="shared" si="0"/>
        <v>18</v>
      </c>
      <c r="D49" s="21" t="s">
        <v>60</v>
      </c>
      <c r="E49" s="168">
        <v>0.58680555555555558</v>
      </c>
      <c r="F49" s="168">
        <v>0.59027777777777779</v>
      </c>
      <c r="G49" s="104">
        <f t="shared" si="1"/>
        <v>3.4722222222222099E-3</v>
      </c>
      <c r="H49" s="204" t="s">
        <v>156</v>
      </c>
    </row>
    <row r="50" spans="2:8" ht="30" x14ac:dyDescent="0.25">
      <c r="B50" s="143">
        <v>44322</v>
      </c>
      <c r="C50" s="106">
        <f t="shared" si="0"/>
        <v>18</v>
      </c>
      <c r="D50" s="21" t="s">
        <v>98</v>
      </c>
      <c r="E50" s="168">
        <v>0.60416666666666663</v>
      </c>
      <c r="F50" s="168">
        <v>0.62847222222222221</v>
      </c>
      <c r="G50" s="104">
        <f t="shared" si="1"/>
        <v>2.430555555555558E-2</v>
      </c>
      <c r="H50" s="204" t="s">
        <v>157</v>
      </c>
    </row>
    <row r="51" spans="2:8" x14ac:dyDescent="0.25">
      <c r="B51" s="143">
        <v>44322</v>
      </c>
      <c r="C51" s="106">
        <f t="shared" si="0"/>
        <v>18</v>
      </c>
      <c r="D51" s="21" t="s">
        <v>97</v>
      </c>
      <c r="E51" s="168">
        <v>0.63888888888888895</v>
      </c>
      <c r="F51" s="168">
        <v>0.65625</v>
      </c>
      <c r="G51" s="104">
        <f t="shared" si="1"/>
        <v>1.7361111111111049E-2</v>
      </c>
      <c r="H51" s="204" t="s">
        <v>159</v>
      </c>
    </row>
    <row r="52" spans="2:8" ht="30" x14ac:dyDescent="0.25">
      <c r="B52" s="143">
        <v>44322</v>
      </c>
      <c r="C52" s="106">
        <f t="shared" si="0"/>
        <v>18</v>
      </c>
      <c r="D52" s="21" t="s">
        <v>100</v>
      </c>
      <c r="E52" s="168">
        <v>0.65625</v>
      </c>
      <c r="F52" s="168">
        <v>0.66319444444444442</v>
      </c>
      <c r="G52" s="104">
        <f t="shared" si="1"/>
        <v>6.9444444444444198E-3</v>
      </c>
      <c r="H52" s="204" t="s">
        <v>126</v>
      </c>
    </row>
    <row r="53" spans="2:8" x14ac:dyDescent="0.25">
      <c r="B53" s="143">
        <v>44326</v>
      </c>
      <c r="C53" s="106">
        <f t="shared" si="0"/>
        <v>19</v>
      </c>
      <c r="D53" s="21" t="s">
        <v>72</v>
      </c>
      <c r="E53" s="168">
        <v>0.36805555555555558</v>
      </c>
      <c r="F53" s="168">
        <v>0.38541666666666669</v>
      </c>
      <c r="G53" s="104">
        <f t="shared" si="1"/>
        <v>1.7361111111111105E-2</v>
      </c>
      <c r="H53" s="204" t="s">
        <v>162</v>
      </c>
    </row>
    <row r="54" spans="2:8" x14ac:dyDescent="0.25">
      <c r="B54" s="143">
        <v>44326</v>
      </c>
      <c r="C54" s="106">
        <f t="shared" si="0"/>
        <v>19</v>
      </c>
      <c r="D54" s="21" t="s">
        <v>72</v>
      </c>
      <c r="E54" s="168">
        <v>0.38541666666666669</v>
      </c>
      <c r="F54" s="168">
        <v>0.39930555555555558</v>
      </c>
      <c r="G54" s="104">
        <f t="shared" si="1"/>
        <v>1.3888888888888895E-2</v>
      </c>
      <c r="H54" s="204" t="s">
        <v>163</v>
      </c>
    </row>
    <row r="55" spans="2:8" x14ac:dyDescent="0.25">
      <c r="B55" s="143">
        <v>44326</v>
      </c>
      <c r="C55" s="106">
        <f t="shared" si="0"/>
        <v>19</v>
      </c>
      <c r="D55" s="21" t="s">
        <v>72</v>
      </c>
      <c r="E55" s="168">
        <v>0.40972222222222227</v>
      </c>
      <c r="F55" s="168">
        <v>0.43055555555555558</v>
      </c>
      <c r="G55" s="104">
        <f t="shared" si="1"/>
        <v>2.0833333333333315E-2</v>
      </c>
      <c r="H55" s="204" t="s">
        <v>164</v>
      </c>
    </row>
    <row r="56" spans="2:8" ht="30" x14ac:dyDescent="0.25">
      <c r="B56" s="143">
        <v>44326</v>
      </c>
      <c r="C56" s="106">
        <f t="shared" si="0"/>
        <v>19</v>
      </c>
      <c r="D56" s="21" t="s">
        <v>98</v>
      </c>
      <c r="E56" s="168">
        <v>0.43055555555555558</v>
      </c>
      <c r="F56" s="168">
        <v>0.4375</v>
      </c>
      <c r="G56" s="104">
        <f t="shared" si="1"/>
        <v>6.9444444444444198E-3</v>
      </c>
      <c r="H56" s="204" t="s">
        <v>165</v>
      </c>
    </row>
    <row r="57" spans="2:8" ht="30" x14ac:dyDescent="0.25">
      <c r="B57" s="143">
        <v>44326</v>
      </c>
      <c r="C57" s="106">
        <f t="shared" si="0"/>
        <v>19</v>
      </c>
      <c r="D57" s="21" t="s">
        <v>73</v>
      </c>
      <c r="E57" s="168">
        <v>0.4375</v>
      </c>
      <c r="F57" s="168">
        <v>0.48958333333333331</v>
      </c>
      <c r="G57" s="104">
        <f t="shared" si="1"/>
        <v>5.2083333333333315E-2</v>
      </c>
      <c r="H57" s="204" t="s">
        <v>166</v>
      </c>
    </row>
    <row r="58" spans="2:8" ht="30" x14ac:dyDescent="0.25">
      <c r="B58" s="143">
        <v>44326</v>
      </c>
      <c r="C58" s="106">
        <f t="shared" si="0"/>
        <v>19</v>
      </c>
      <c r="D58" s="21" t="s">
        <v>64</v>
      </c>
      <c r="E58" s="168">
        <v>0.48958333333333331</v>
      </c>
      <c r="F58" s="168">
        <v>0.49305555555555558</v>
      </c>
      <c r="G58" s="104">
        <f t="shared" si="1"/>
        <v>3.4722222222222654E-3</v>
      </c>
      <c r="H58" s="204" t="s">
        <v>167</v>
      </c>
    </row>
    <row r="59" spans="2:8" ht="45" x14ac:dyDescent="0.25">
      <c r="B59" s="143">
        <v>44326</v>
      </c>
      <c r="C59" s="106">
        <f t="shared" si="0"/>
        <v>19</v>
      </c>
      <c r="D59" s="21" t="s">
        <v>73</v>
      </c>
      <c r="E59" s="168">
        <v>0.49305555555555558</v>
      </c>
      <c r="F59" s="168">
        <v>0.50694444444444442</v>
      </c>
      <c r="G59" s="104">
        <f t="shared" si="1"/>
        <v>1.388888888888884E-2</v>
      </c>
      <c r="H59" s="204" t="s">
        <v>168</v>
      </c>
    </row>
    <row r="60" spans="2:8" ht="30" x14ac:dyDescent="0.25">
      <c r="B60" s="143">
        <v>44326</v>
      </c>
      <c r="C60" s="106">
        <f t="shared" si="0"/>
        <v>19</v>
      </c>
      <c r="D60" s="21" t="s">
        <v>98</v>
      </c>
      <c r="E60" s="168">
        <v>0.50694444444444442</v>
      </c>
      <c r="F60" s="168">
        <v>0.51041666666666663</v>
      </c>
      <c r="G60" s="104">
        <f t="shared" si="1"/>
        <v>3.4722222222222099E-3</v>
      </c>
      <c r="H60" s="204" t="s">
        <v>169</v>
      </c>
    </row>
    <row r="61" spans="2:8" ht="45" x14ac:dyDescent="0.25">
      <c r="B61" s="143">
        <v>44326</v>
      </c>
      <c r="C61" s="106">
        <f t="shared" si="0"/>
        <v>19</v>
      </c>
      <c r="D61" s="21" t="s">
        <v>73</v>
      </c>
      <c r="E61" s="168">
        <v>0.5625</v>
      </c>
      <c r="F61" s="168">
        <v>0.60416666666666663</v>
      </c>
      <c r="G61" s="104">
        <f t="shared" si="1"/>
        <v>4.166666666666663E-2</v>
      </c>
      <c r="H61" s="204" t="s">
        <v>170</v>
      </c>
    </row>
    <row r="62" spans="2:8" ht="60" x14ac:dyDescent="0.25">
      <c r="B62" s="143">
        <v>44326</v>
      </c>
      <c r="C62" s="106">
        <f t="shared" si="0"/>
        <v>19</v>
      </c>
      <c r="D62" s="21" t="s">
        <v>78</v>
      </c>
      <c r="E62" s="168">
        <v>0.60416666666666663</v>
      </c>
      <c r="F62" s="168">
        <v>0.61805555555555558</v>
      </c>
      <c r="G62" s="104">
        <f t="shared" si="1"/>
        <v>1.3888888888888951E-2</v>
      </c>
      <c r="H62" s="204" t="s">
        <v>171</v>
      </c>
    </row>
    <row r="63" spans="2:8" ht="30" x14ac:dyDescent="0.25">
      <c r="B63" s="143">
        <v>44326</v>
      </c>
      <c r="C63" s="106">
        <f t="shared" si="0"/>
        <v>19</v>
      </c>
      <c r="D63" s="21" t="s">
        <v>98</v>
      </c>
      <c r="E63" s="168">
        <v>0.61805555555555558</v>
      </c>
      <c r="F63" s="168">
        <v>0.63194444444444442</v>
      </c>
      <c r="G63" s="104">
        <f t="shared" si="1"/>
        <v>1.388888888888884E-2</v>
      </c>
      <c r="H63" s="204" t="s">
        <v>172</v>
      </c>
    </row>
    <row r="64" spans="2:8" ht="30" x14ac:dyDescent="0.25">
      <c r="B64" s="143">
        <v>44326</v>
      </c>
      <c r="C64" s="106">
        <f t="shared" si="0"/>
        <v>19</v>
      </c>
      <c r="D64" s="21" t="s">
        <v>79</v>
      </c>
      <c r="E64" s="168">
        <v>0.64930555555555558</v>
      </c>
      <c r="F64" s="168">
        <v>0.66666666666666663</v>
      </c>
      <c r="G64" s="104">
        <f t="shared" si="1"/>
        <v>1.7361111111111049E-2</v>
      </c>
      <c r="H64" s="204" t="s">
        <v>173</v>
      </c>
    </row>
    <row r="65" spans="2:8" ht="30" x14ac:dyDescent="0.25">
      <c r="B65" s="143">
        <v>44326</v>
      </c>
      <c r="C65" s="106">
        <f t="shared" si="0"/>
        <v>19</v>
      </c>
      <c r="D65" s="21" t="s">
        <v>79</v>
      </c>
      <c r="E65" s="168">
        <v>0.67361111111111116</v>
      </c>
      <c r="F65" s="168">
        <v>0.70138888888888884</v>
      </c>
      <c r="G65" s="104">
        <f t="shared" si="1"/>
        <v>2.7777777777777679E-2</v>
      </c>
      <c r="H65" s="204" t="s">
        <v>174</v>
      </c>
    </row>
    <row r="66" spans="2:8" ht="30" x14ac:dyDescent="0.25">
      <c r="B66" s="143">
        <v>44326</v>
      </c>
      <c r="C66" s="106">
        <f t="shared" si="0"/>
        <v>19</v>
      </c>
      <c r="D66" s="21" t="s">
        <v>74</v>
      </c>
      <c r="E66" s="168">
        <v>0.70138888888888884</v>
      </c>
      <c r="F66" s="168">
        <v>0.70486111111111116</v>
      </c>
      <c r="G66" s="104">
        <f t="shared" si="1"/>
        <v>3.4722222222223209E-3</v>
      </c>
      <c r="H66" s="204" t="s">
        <v>175</v>
      </c>
    </row>
    <row r="67" spans="2:8" ht="30" x14ac:dyDescent="0.25">
      <c r="B67" s="143">
        <v>44327</v>
      </c>
      <c r="C67" s="106">
        <f t="shared" si="0"/>
        <v>19</v>
      </c>
      <c r="D67" s="21" t="s">
        <v>78</v>
      </c>
      <c r="E67" s="168">
        <v>0.40972222222222227</v>
      </c>
      <c r="F67" s="168">
        <v>0.41319444444444442</v>
      </c>
      <c r="G67" s="104">
        <f t="shared" si="1"/>
        <v>3.4722222222221544E-3</v>
      </c>
      <c r="H67" s="204" t="s">
        <v>176</v>
      </c>
    </row>
    <row r="68" spans="2:8" ht="45" x14ac:dyDescent="0.25">
      <c r="B68" s="143">
        <v>44327</v>
      </c>
      <c r="C68" s="106">
        <f t="shared" si="0"/>
        <v>19</v>
      </c>
      <c r="D68" s="21" t="s">
        <v>177</v>
      </c>
      <c r="E68" s="168">
        <v>0.41319444444444442</v>
      </c>
      <c r="F68" s="168">
        <v>0.47916666666666669</v>
      </c>
      <c r="G68" s="104">
        <f t="shared" si="1"/>
        <v>6.5972222222222265E-2</v>
      </c>
      <c r="H68" s="204" t="s">
        <v>178</v>
      </c>
    </row>
    <row r="69" spans="2:8" ht="30" x14ac:dyDescent="0.25">
      <c r="B69" s="143">
        <v>44327</v>
      </c>
      <c r="C69" s="106">
        <f t="shared" si="0"/>
        <v>19</v>
      </c>
      <c r="D69" s="21" t="s">
        <v>177</v>
      </c>
      <c r="E69" s="168">
        <v>0.47916666666666669</v>
      </c>
      <c r="F69" s="168">
        <v>0.49652777777777773</v>
      </c>
      <c r="G69" s="104">
        <f t="shared" si="1"/>
        <v>1.7361111111111049E-2</v>
      </c>
      <c r="H69" s="204" t="s">
        <v>179</v>
      </c>
    </row>
    <row r="70" spans="2:8" ht="30" x14ac:dyDescent="0.25">
      <c r="B70" s="143">
        <v>44327</v>
      </c>
      <c r="C70" s="106">
        <f t="shared" si="0"/>
        <v>19</v>
      </c>
      <c r="D70" s="21" t="s">
        <v>80</v>
      </c>
      <c r="E70" s="168">
        <v>0.49652777777777773</v>
      </c>
      <c r="F70" s="168">
        <v>0.51041666666666663</v>
      </c>
      <c r="G70" s="104">
        <f t="shared" si="1"/>
        <v>1.3888888888888895E-2</v>
      </c>
      <c r="H70" s="204" t="s">
        <v>180</v>
      </c>
    </row>
    <row r="71" spans="2:8" ht="30" x14ac:dyDescent="0.25">
      <c r="B71" s="143">
        <v>44327</v>
      </c>
      <c r="C71" s="106">
        <f t="shared" si="0"/>
        <v>19</v>
      </c>
      <c r="D71" s="21" t="s">
        <v>177</v>
      </c>
      <c r="E71" s="168">
        <v>0.63888888888888895</v>
      </c>
      <c r="F71" s="168">
        <v>0.64930555555555558</v>
      </c>
      <c r="G71" s="104">
        <f t="shared" si="1"/>
        <v>1.041666666666663E-2</v>
      </c>
      <c r="H71" s="204" t="s">
        <v>181</v>
      </c>
    </row>
    <row r="72" spans="2:8" ht="45" x14ac:dyDescent="0.25">
      <c r="B72" s="143">
        <v>44327</v>
      </c>
      <c r="C72" s="106">
        <f t="shared" si="0"/>
        <v>19</v>
      </c>
      <c r="D72" s="21" t="s">
        <v>64</v>
      </c>
      <c r="E72" s="168">
        <v>0.64930555555555558</v>
      </c>
      <c r="F72" s="168">
        <v>0.65972222222222221</v>
      </c>
      <c r="G72" s="104">
        <f t="shared" si="1"/>
        <v>1.041666666666663E-2</v>
      </c>
      <c r="H72" s="204" t="s">
        <v>182</v>
      </c>
    </row>
    <row r="73" spans="2:8" ht="60" x14ac:dyDescent="0.25">
      <c r="B73" s="143">
        <v>44327</v>
      </c>
      <c r="C73" s="106">
        <f t="shared" si="0"/>
        <v>19</v>
      </c>
      <c r="D73" s="21" t="s">
        <v>177</v>
      </c>
      <c r="E73" s="168">
        <v>0.65972222222222221</v>
      </c>
      <c r="F73" s="168">
        <v>0.69791666666666663</v>
      </c>
      <c r="G73" s="104">
        <f t="shared" si="1"/>
        <v>3.819444444444442E-2</v>
      </c>
      <c r="H73" s="204" t="s">
        <v>183</v>
      </c>
    </row>
    <row r="74" spans="2:8" ht="30" x14ac:dyDescent="0.25">
      <c r="B74" s="143">
        <v>44327</v>
      </c>
      <c r="C74" s="106">
        <f t="shared" si="0"/>
        <v>19</v>
      </c>
      <c r="D74" s="21" t="s">
        <v>100</v>
      </c>
      <c r="E74" s="168">
        <v>0.69791666666666663</v>
      </c>
      <c r="F74" s="168">
        <v>0.70486111111111116</v>
      </c>
      <c r="G74" s="104">
        <f t="shared" si="1"/>
        <v>6.9444444444445308E-3</v>
      </c>
      <c r="H74" s="204" t="s">
        <v>126</v>
      </c>
    </row>
    <row r="75" spans="2:8" ht="30" x14ac:dyDescent="0.25">
      <c r="B75" s="143">
        <v>44328</v>
      </c>
      <c r="C75" s="106">
        <f t="shared" si="0"/>
        <v>19</v>
      </c>
      <c r="D75" s="21" t="s">
        <v>160</v>
      </c>
      <c r="E75" s="168">
        <v>0.35416666666666669</v>
      </c>
      <c r="F75" s="168">
        <v>0.36458333333333331</v>
      </c>
      <c r="G75" s="104">
        <f t="shared" si="1"/>
        <v>1.041666666666663E-2</v>
      </c>
      <c r="H75" s="204" t="s">
        <v>184</v>
      </c>
    </row>
    <row r="76" spans="2:8" ht="45" x14ac:dyDescent="0.25">
      <c r="B76" s="143">
        <v>44328</v>
      </c>
      <c r="C76" s="106">
        <f t="shared" si="0"/>
        <v>19</v>
      </c>
      <c r="D76" s="21" t="s">
        <v>62</v>
      </c>
      <c r="E76" s="168">
        <v>0.36458333333333331</v>
      </c>
      <c r="F76" s="168">
        <v>0.37152777777777773</v>
      </c>
      <c r="G76" s="104">
        <f t="shared" si="1"/>
        <v>6.9444444444444198E-3</v>
      </c>
      <c r="H76" s="204" t="s">
        <v>185</v>
      </c>
    </row>
    <row r="77" spans="2:8" ht="30" x14ac:dyDescent="0.25">
      <c r="B77" s="143">
        <v>44328</v>
      </c>
      <c r="C77" s="106">
        <f t="shared" si="0"/>
        <v>19</v>
      </c>
      <c r="D77" s="21" t="s">
        <v>177</v>
      </c>
      <c r="E77" s="168">
        <v>0.37152777777777773</v>
      </c>
      <c r="F77" s="168">
        <v>0.38541666666666669</v>
      </c>
      <c r="G77" s="104">
        <f t="shared" si="1"/>
        <v>1.3888888888888951E-2</v>
      </c>
      <c r="H77" s="204" t="s">
        <v>186</v>
      </c>
    </row>
    <row r="78" spans="2:8" ht="30" x14ac:dyDescent="0.25">
      <c r="B78" s="143">
        <v>44328</v>
      </c>
      <c r="C78" s="106">
        <f t="shared" si="0"/>
        <v>19</v>
      </c>
      <c r="D78" s="21" t="s">
        <v>161</v>
      </c>
      <c r="E78" s="168">
        <v>0.3923611111111111</v>
      </c>
      <c r="F78" s="168">
        <v>0.39930555555555558</v>
      </c>
      <c r="G78" s="104">
        <f t="shared" si="1"/>
        <v>6.9444444444444753E-3</v>
      </c>
      <c r="H78" s="204" t="s">
        <v>187</v>
      </c>
    </row>
    <row r="79" spans="2:8" ht="45" x14ac:dyDescent="0.25">
      <c r="B79" s="143">
        <v>44328</v>
      </c>
      <c r="C79" s="106">
        <f t="shared" si="0"/>
        <v>19</v>
      </c>
      <c r="D79" s="21" t="s">
        <v>177</v>
      </c>
      <c r="E79" s="168">
        <v>0.39930555555555558</v>
      </c>
      <c r="F79" s="168">
        <v>0.51041666666666663</v>
      </c>
      <c r="G79" s="104">
        <f t="shared" si="1"/>
        <v>0.11111111111111105</v>
      </c>
      <c r="H79" s="204" t="s">
        <v>188</v>
      </c>
    </row>
    <row r="80" spans="2:8" ht="30" x14ac:dyDescent="0.25">
      <c r="B80" s="143">
        <v>44328</v>
      </c>
      <c r="C80" s="106">
        <f t="shared" si="0"/>
        <v>19</v>
      </c>
      <c r="D80" s="21" t="s">
        <v>177</v>
      </c>
      <c r="E80" s="168">
        <v>0.5625</v>
      </c>
      <c r="F80" s="168">
        <v>0.62847222222222221</v>
      </c>
      <c r="G80" s="104">
        <f t="shared" si="1"/>
        <v>6.597222222222221E-2</v>
      </c>
      <c r="H80" s="204" t="s">
        <v>189</v>
      </c>
    </row>
    <row r="81" spans="2:8" ht="60" x14ac:dyDescent="0.25">
      <c r="B81" s="143">
        <v>44328</v>
      </c>
      <c r="C81" s="106">
        <f t="shared" si="0"/>
        <v>19</v>
      </c>
      <c r="D81" s="21" t="s">
        <v>81</v>
      </c>
      <c r="E81" s="168">
        <v>0.63888888888888895</v>
      </c>
      <c r="F81" s="168">
        <v>0.70486111111111116</v>
      </c>
      <c r="G81" s="104">
        <f t="shared" si="1"/>
        <v>6.597222222222221E-2</v>
      </c>
      <c r="H81" s="204" t="s">
        <v>190</v>
      </c>
    </row>
    <row r="82" spans="2:8" ht="45" x14ac:dyDescent="0.25">
      <c r="B82" s="143">
        <v>44333</v>
      </c>
      <c r="C82" s="106">
        <f t="shared" si="0"/>
        <v>20</v>
      </c>
      <c r="D82" s="21" t="s">
        <v>81</v>
      </c>
      <c r="E82" s="168">
        <v>0.375</v>
      </c>
      <c r="F82" s="168">
        <v>0.40972222222222227</v>
      </c>
      <c r="G82" s="104">
        <f t="shared" si="1"/>
        <v>3.4722222222222265E-2</v>
      </c>
      <c r="H82" s="204" t="s">
        <v>191</v>
      </c>
    </row>
    <row r="83" spans="2:8" ht="75" x14ac:dyDescent="0.25">
      <c r="B83" s="143">
        <v>44333</v>
      </c>
      <c r="C83" s="106">
        <f t="shared" si="0"/>
        <v>20</v>
      </c>
      <c r="D83" s="21" t="s">
        <v>81</v>
      </c>
      <c r="E83" s="168">
        <v>0.4201388888888889</v>
      </c>
      <c r="F83" s="168">
        <v>0.45833333333333331</v>
      </c>
      <c r="G83" s="104">
        <f t="shared" si="1"/>
        <v>3.819444444444442E-2</v>
      </c>
      <c r="H83" s="204" t="s">
        <v>192</v>
      </c>
    </row>
    <row r="84" spans="2:8" ht="30" x14ac:dyDescent="0.25">
      <c r="B84" s="143">
        <v>44333</v>
      </c>
      <c r="C84" s="106">
        <f t="shared" si="0"/>
        <v>20</v>
      </c>
      <c r="D84" s="21" t="s">
        <v>81</v>
      </c>
      <c r="E84" s="168">
        <v>0.45833333333333331</v>
      </c>
      <c r="F84" s="168">
        <v>0.49305555555555558</v>
      </c>
      <c r="G84" s="104">
        <f t="shared" si="1"/>
        <v>3.4722222222222265E-2</v>
      </c>
      <c r="H84" s="204" t="s">
        <v>193</v>
      </c>
    </row>
    <row r="85" spans="2:8" ht="45" x14ac:dyDescent="0.25">
      <c r="B85" s="143">
        <v>44333</v>
      </c>
      <c r="C85" s="106">
        <f t="shared" si="0"/>
        <v>20</v>
      </c>
      <c r="D85" s="21" t="s">
        <v>64</v>
      </c>
      <c r="E85" s="168">
        <v>0.49305555555555558</v>
      </c>
      <c r="F85" s="168">
        <v>0.5</v>
      </c>
      <c r="G85" s="104">
        <f t="shared" si="1"/>
        <v>6.9444444444444198E-3</v>
      </c>
      <c r="H85" s="204" t="s">
        <v>194</v>
      </c>
    </row>
    <row r="86" spans="2:8" ht="60" x14ac:dyDescent="0.25">
      <c r="B86" s="143">
        <v>44333</v>
      </c>
      <c r="C86" s="106">
        <f t="shared" si="0"/>
        <v>20</v>
      </c>
      <c r="D86" s="21" t="s">
        <v>81</v>
      </c>
      <c r="E86" s="168">
        <v>0.5</v>
      </c>
      <c r="F86" s="168">
        <v>0.51041666666666663</v>
      </c>
      <c r="G86" s="104">
        <f t="shared" si="1"/>
        <v>1.041666666666663E-2</v>
      </c>
      <c r="H86" s="204" t="s">
        <v>195</v>
      </c>
    </row>
    <row r="87" spans="2:8" ht="60" x14ac:dyDescent="0.25">
      <c r="B87" s="143">
        <v>44333</v>
      </c>
      <c r="C87" s="106">
        <f t="shared" si="0"/>
        <v>20</v>
      </c>
      <c r="D87" s="21" t="s">
        <v>81</v>
      </c>
      <c r="E87" s="168">
        <v>0.5625</v>
      </c>
      <c r="F87" s="168">
        <v>0.64583333333333337</v>
      </c>
      <c r="G87" s="104">
        <f t="shared" si="1"/>
        <v>8.333333333333337E-2</v>
      </c>
      <c r="H87" s="204" t="s">
        <v>196</v>
      </c>
    </row>
    <row r="88" spans="2:8" ht="30" x14ac:dyDescent="0.25">
      <c r="B88" s="143">
        <v>44333</v>
      </c>
      <c r="C88" s="106">
        <f t="shared" si="0"/>
        <v>20</v>
      </c>
      <c r="D88" s="21" t="s">
        <v>82</v>
      </c>
      <c r="E88" s="168">
        <v>0.64930555555555558</v>
      </c>
      <c r="F88" s="168">
        <v>0.69444444444444453</v>
      </c>
      <c r="G88" s="104">
        <f t="shared" si="1"/>
        <v>4.5138888888888951E-2</v>
      </c>
      <c r="H88" s="204" t="s">
        <v>197</v>
      </c>
    </row>
    <row r="89" spans="2:8" ht="30" x14ac:dyDescent="0.25">
      <c r="B89" s="143">
        <v>44333</v>
      </c>
      <c r="C89" s="106">
        <f t="shared" si="0"/>
        <v>20</v>
      </c>
      <c r="D89" s="21" t="s">
        <v>84</v>
      </c>
      <c r="E89" s="168">
        <v>0.69444444444444453</v>
      </c>
      <c r="F89" s="168">
        <v>0.70486111111111116</v>
      </c>
      <c r="G89" s="104">
        <f t="shared" si="1"/>
        <v>1.041666666666663E-2</v>
      </c>
      <c r="H89" s="204" t="s">
        <v>198</v>
      </c>
    </row>
    <row r="90" spans="2:8" ht="45" x14ac:dyDescent="0.25">
      <c r="B90" s="143">
        <v>44335</v>
      </c>
      <c r="C90" s="106">
        <f t="shared" si="0"/>
        <v>20</v>
      </c>
      <c r="D90" s="21" t="s">
        <v>84</v>
      </c>
      <c r="E90" s="168">
        <v>0.33333333333333331</v>
      </c>
      <c r="F90" s="168">
        <v>0.3611111111111111</v>
      </c>
      <c r="G90" s="104">
        <f t="shared" si="1"/>
        <v>2.777777777777779E-2</v>
      </c>
      <c r="H90" s="204" t="s">
        <v>199</v>
      </c>
    </row>
    <row r="91" spans="2:8" ht="30" x14ac:dyDescent="0.25">
      <c r="B91" s="143">
        <v>44335</v>
      </c>
      <c r="C91" s="106">
        <f t="shared" si="0"/>
        <v>20</v>
      </c>
      <c r="D91" s="21" t="s">
        <v>85</v>
      </c>
      <c r="E91" s="168">
        <v>0.3611111111111111</v>
      </c>
      <c r="F91" s="168">
        <v>0.36805555555555558</v>
      </c>
      <c r="G91" s="104">
        <f t="shared" si="1"/>
        <v>6.9444444444444753E-3</v>
      </c>
      <c r="H91" s="204" t="s">
        <v>200</v>
      </c>
    </row>
    <row r="92" spans="2:8" ht="30" x14ac:dyDescent="0.25">
      <c r="B92" s="143">
        <v>44335</v>
      </c>
      <c r="C92" s="106">
        <f t="shared" si="0"/>
        <v>20</v>
      </c>
      <c r="D92" s="21" t="s">
        <v>133</v>
      </c>
      <c r="E92" s="168">
        <v>0.36805555555555558</v>
      </c>
      <c r="F92" s="168">
        <v>0.375</v>
      </c>
      <c r="G92" s="104">
        <f t="shared" si="1"/>
        <v>6.9444444444444198E-3</v>
      </c>
      <c r="H92" s="204" t="s">
        <v>201</v>
      </c>
    </row>
    <row r="93" spans="2:8" ht="30" x14ac:dyDescent="0.25">
      <c r="B93" s="143">
        <v>44335</v>
      </c>
      <c r="C93" s="106">
        <f t="shared" si="0"/>
        <v>20</v>
      </c>
      <c r="D93" s="21" t="s">
        <v>87</v>
      </c>
      <c r="E93" s="168">
        <v>0.375</v>
      </c>
      <c r="F93" s="168">
        <v>0.37847222222222227</v>
      </c>
      <c r="G93" s="104">
        <f t="shared" si="1"/>
        <v>3.4722222222222654E-3</v>
      </c>
      <c r="H93" s="204" t="s">
        <v>202</v>
      </c>
    </row>
    <row r="94" spans="2:8" ht="60" customHeight="1" x14ac:dyDescent="0.25">
      <c r="B94" s="143">
        <v>44335</v>
      </c>
      <c r="C94" s="106">
        <f t="shared" si="0"/>
        <v>20</v>
      </c>
      <c r="D94" s="21" t="s">
        <v>86</v>
      </c>
      <c r="E94" s="168">
        <v>0.37847222222222227</v>
      </c>
      <c r="F94" s="168">
        <v>0.38541666666666669</v>
      </c>
      <c r="G94" s="104">
        <f t="shared" si="1"/>
        <v>6.9444444444444198E-3</v>
      </c>
      <c r="H94" s="204" t="s">
        <v>203</v>
      </c>
    </row>
    <row r="95" spans="2:8" ht="30" x14ac:dyDescent="0.25">
      <c r="B95" s="143">
        <v>44335</v>
      </c>
      <c r="C95" s="106">
        <f t="shared" si="0"/>
        <v>20</v>
      </c>
      <c r="D95" s="21" t="s">
        <v>88</v>
      </c>
      <c r="E95" s="168">
        <v>0.38541666666666669</v>
      </c>
      <c r="F95" s="168">
        <v>0.39930555555555558</v>
      </c>
      <c r="G95" s="104">
        <f t="shared" si="1"/>
        <v>1.3888888888888895E-2</v>
      </c>
      <c r="H95" s="204" t="s">
        <v>204</v>
      </c>
    </row>
    <row r="96" spans="2:8" ht="45" x14ac:dyDescent="0.25">
      <c r="B96" s="143">
        <v>44335</v>
      </c>
      <c r="C96" s="106">
        <f t="shared" si="0"/>
        <v>20</v>
      </c>
      <c r="D96" s="21" t="s">
        <v>88</v>
      </c>
      <c r="E96" s="168">
        <v>0.41319444444444442</v>
      </c>
      <c r="F96" s="168">
        <v>0.50347222222222221</v>
      </c>
      <c r="G96" s="104">
        <f t="shared" si="1"/>
        <v>9.027777777777779E-2</v>
      </c>
      <c r="H96" s="204" t="s">
        <v>205</v>
      </c>
    </row>
    <row r="97" spans="2:8" ht="30" x14ac:dyDescent="0.25">
      <c r="B97" s="143">
        <v>44335</v>
      </c>
      <c r="C97" s="106">
        <f t="shared" si="0"/>
        <v>20</v>
      </c>
      <c r="D97" s="21" t="s">
        <v>88</v>
      </c>
      <c r="E97" s="168">
        <v>0.57291666666666663</v>
      </c>
      <c r="F97" s="168">
        <v>0.58680555555555558</v>
      </c>
      <c r="G97" s="104">
        <f t="shared" si="1"/>
        <v>1.3888888888888951E-2</v>
      </c>
      <c r="H97" s="204" t="s">
        <v>206</v>
      </c>
    </row>
    <row r="98" spans="2:8" ht="45" x14ac:dyDescent="0.25">
      <c r="B98" s="143">
        <v>44335</v>
      </c>
      <c r="C98" s="106">
        <f t="shared" si="0"/>
        <v>20</v>
      </c>
      <c r="D98" s="21" t="s">
        <v>108</v>
      </c>
      <c r="E98" s="168">
        <v>0.58680555555555558</v>
      </c>
      <c r="F98" s="168">
        <v>0.60763888888888895</v>
      </c>
      <c r="G98" s="104">
        <f t="shared" si="1"/>
        <v>2.083333333333337E-2</v>
      </c>
      <c r="H98" s="204" t="s">
        <v>207</v>
      </c>
    </row>
    <row r="99" spans="2:8" ht="30" customHeight="1" x14ac:dyDescent="0.25">
      <c r="B99" s="143">
        <v>44335</v>
      </c>
      <c r="C99" s="106">
        <f t="shared" si="0"/>
        <v>20</v>
      </c>
      <c r="D99" s="21" t="s">
        <v>89</v>
      </c>
      <c r="E99" s="168">
        <v>0.60763888888888895</v>
      </c>
      <c r="F99" s="168">
        <v>0.625</v>
      </c>
      <c r="G99" s="104">
        <f t="shared" si="1"/>
        <v>1.7361111111111049E-2</v>
      </c>
      <c r="H99" s="204" t="s">
        <v>208</v>
      </c>
    </row>
    <row r="100" spans="2:8" ht="30" x14ac:dyDescent="0.25">
      <c r="B100" s="143">
        <v>44335</v>
      </c>
      <c r="C100" s="106">
        <f t="shared" si="0"/>
        <v>20</v>
      </c>
      <c r="D100" s="21" t="s">
        <v>90</v>
      </c>
      <c r="E100" s="168">
        <v>0.625</v>
      </c>
      <c r="F100" s="168">
        <v>0.63194444444444442</v>
      </c>
      <c r="G100" s="104">
        <f t="shared" si="1"/>
        <v>6.9444444444444198E-3</v>
      </c>
      <c r="H100" s="204" t="s">
        <v>209</v>
      </c>
    </row>
    <row r="101" spans="2:8" ht="30" x14ac:dyDescent="0.25">
      <c r="B101" s="143">
        <v>44335</v>
      </c>
      <c r="C101" s="106">
        <f t="shared" si="0"/>
        <v>20</v>
      </c>
      <c r="D101" s="21" t="s">
        <v>90</v>
      </c>
      <c r="E101" s="168">
        <v>0.63194444444444442</v>
      </c>
      <c r="F101" s="168">
        <v>0.65625</v>
      </c>
      <c r="G101" s="104">
        <f t="shared" si="1"/>
        <v>2.430555555555558E-2</v>
      </c>
      <c r="H101" s="204" t="s">
        <v>210</v>
      </c>
    </row>
    <row r="102" spans="2:8" ht="45" customHeight="1" x14ac:dyDescent="0.25">
      <c r="B102" s="143">
        <v>44335</v>
      </c>
      <c r="C102" s="106">
        <f t="shared" si="0"/>
        <v>20</v>
      </c>
      <c r="D102" s="21" t="s">
        <v>90</v>
      </c>
      <c r="E102" s="168">
        <v>0.65625</v>
      </c>
      <c r="F102" s="168">
        <v>0.67013888888888884</v>
      </c>
      <c r="G102" s="104">
        <f t="shared" si="1"/>
        <v>1.388888888888884E-2</v>
      </c>
      <c r="H102" s="204" t="s">
        <v>211</v>
      </c>
    </row>
    <row r="103" spans="2:8" ht="60" x14ac:dyDescent="0.25">
      <c r="B103" s="143">
        <v>44335</v>
      </c>
      <c r="C103" s="106">
        <f t="shared" si="0"/>
        <v>20</v>
      </c>
      <c r="D103" s="21" t="s">
        <v>91</v>
      </c>
      <c r="E103" s="168">
        <v>0.67013888888888884</v>
      </c>
      <c r="F103" s="168">
        <v>0.70486111111111116</v>
      </c>
      <c r="G103" s="104">
        <f t="shared" si="1"/>
        <v>3.4722222222222321E-2</v>
      </c>
      <c r="H103" s="204" t="s">
        <v>212</v>
      </c>
    </row>
    <row r="104" spans="2:8" ht="30" x14ac:dyDescent="0.25">
      <c r="B104" s="143">
        <v>44336</v>
      </c>
      <c r="C104" s="106">
        <f t="shared" si="0"/>
        <v>20</v>
      </c>
      <c r="D104" s="21" t="s">
        <v>91</v>
      </c>
      <c r="E104" s="168">
        <v>0.33333333333333331</v>
      </c>
      <c r="F104" s="168">
        <v>0.375</v>
      </c>
      <c r="G104" s="104">
        <f t="shared" si="1"/>
        <v>4.1666666666666685E-2</v>
      </c>
      <c r="H104" s="204" t="s">
        <v>213</v>
      </c>
    </row>
    <row r="105" spans="2:8" ht="30" x14ac:dyDescent="0.25">
      <c r="B105" s="143">
        <v>44336</v>
      </c>
      <c r="C105" s="106">
        <f t="shared" si="0"/>
        <v>20</v>
      </c>
      <c r="D105" s="21" t="s">
        <v>161</v>
      </c>
      <c r="E105" s="168">
        <v>0.375</v>
      </c>
      <c r="F105" s="168">
        <v>0.38194444444444442</v>
      </c>
      <c r="G105" s="104">
        <f t="shared" si="1"/>
        <v>6.9444444444444198E-3</v>
      </c>
      <c r="H105" s="204" t="s">
        <v>214</v>
      </c>
    </row>
    <row r="106" spans="2:8" ht="30" x14ac:dyDescent="0.25">
      <c r="B106" s="143">
        <v>44336</v>
      </c>
      <c r="C106" s="106">
        <f t="shared" si="0"/>
        <v>20</v>
      </c>
      <c r="D106" s="21" t="s">
        <v>83</v>
      </c>
      <c r="E106" s="168">
        <v>0.38194444444444442</v>
      </c>
      <c r="F106" s="168">
        <v>0.39583333333333331</v>
      </c>
      <c r="G106" s="104">
        <f t="shared" si="1"/>
        <v>1.3888888888888895E-2</v>
      </c>
      <c r="H106" s="204" t="s">
        <v>215</v>
      </c>
    </row>
    <row r="107" spans="2:8" ht="30" x14ac:dyDescent="0.25">
      <c r="B107" s="143">
        <v>44336</v>
      </c>
      <c r="C107" s="106">
        <f t="shared" si="0"/>
        <v>20</v>
      </c>
      <c r="D107" s="21" t="s">
        <v>83</v>
      </c>
      <c r="E107" s="168">
        <v>0.40972222222222227</v>
      </c>
      <c r="F107" s="168">
        <v>0.4236111111111111</v>
      </c>
      <c r="G107" s="104">
        <f t="shared" si="1"/>
        <v>1.388888888888884E-2</v>
      </c>
      <c r="H107" s="204" t="s">
        <v>216</v>
      </c>
    </row>
    <row r="108" spans="2:8" ht="45" x14ac:dyDescent="0.25">
      <c r="B108" s="143">
        <v>44336</v>
      </c>
      <c r="C108" s="106">
        <f t="shared" si="0"/>
        <v>20</v>
      </c>
      <c r="D108" s="21" t="s">
        <v>64</v>
      </c>
      <c r="E108" s="168">
        <v>0.4236111111111111</v>
      </c>
      <c r="F108" s="168">
        <v>0.4375</v>
      </c>
      <c r="G108" s="104">
        <f t="shared" si="1"/>
        <v>1.3888888888888895E-2</v>
      </c>
      <c r="H108" s="204" t="s">
        <v>217</v>
      </c>
    </row>
    <row r="109" spans="2:8" ht="30" x14ac:dyDescent="0.25">
      <c r="B109" s="143">
        <v>44336</v>
      </c>
      <c r="C109" s="106">
        <f t="shared" si="0"/>
        <v>20</v>
      </c>
      <c r="D109" s="21" t="s">
        <v>81</v>
      </c>
      <c r="E109" s="168">
        <v>0.4375</v>
      </c>
      <c r="F109" s="168">
        <v>0.4513888888888889</v>
      </c>
      <c r="G109" s="104">
        <f t="shared" si="1"/>
        <v>1.3888888888888895E-2</v>
      </c>
      <c r="H109" s="204" t="s">
        <v>218</v>
      </c>
    </row>
    <row r="110" spans="2:8" ht="30" customHeight="1" x14ac:dyDescent="0.25">
      <c r="B110" s="143">
        <v>44336</v>
      </c>
      <c r="C110" s="106">
        <f t="shared" si="0"/>
        <v>20</v>
      </c>
      <c r="D110" s="21" t="s">
        <v>89</v>
      </c>
      <c r="E110" s="168">
        <v>0.4513888888888889</v>
      </c>
      <c r="F110" s="168">
        <v>0.45833333333333331</v>
      </c>
      <c r="G110" s="104">
        <f t="shared" si="1"/>
        <v>6.9444444444444198E-3</v>
      </c>
      <c r="H110" s="204" t="s">
        <v>219</v>
      </c>
    </row>
    <row r="111" spans="2:8" ht="30" x14ac:dyDescent="0.25">
      <c r="B111" s="143">
        <v>44336</v>
      </c>
      <c r="C111" s="106">
        <f t="shared" si="0"/>
        <v>20</v>
      </c>
      <c r="D111" s="21" t="s">
        <v>90</v>
      </c>
      <c r="E111" s="168">
        <v>0.45833333333333331</v>
      </c>
      <c r="F111" s="168">
        <v>0.46527777777777773</v>
      </c>
      <c r="G111" s="104">
        <f t="shared" si="1"/>
        <v>6.9444444444444198E-3</v>
      </c>
      <c r="H111" s="204" t="s">
        <v>220</v>
      </c>
    </row>
    <row r="112" spans="2:8" ht="30" x14ac:dyDescent="0.25">
      <c r="B112" s="143">
        <v>44336</v>
      </c>
      <c r="C112" s="106">
        <f t="shared" si="0"/>
        <v>20</v>
      </c>
      <c r="D112" s="21" t="s">
        <v>108</v>
      </c>
      <c r="E112" s="168">
        <v>0.46875</v>
      </c>
      <c r="F112" s="168">
        <v>0.48958333333333331</v>
      </c>
      <c r="G112" s="104">
        <f t="shared" si="1"/>
        <v>2.0833333333333315E-2</v>
      </c>
      <c r="H112" s="204" t="s">
        <v>221</v>
      </c>
    </row>
    <row r="113" spans="2:8" ht="75" customHeight="1" x14ac:dyDescent="0.25">
      <c r="B113" s="143">
        <v>44336</v>
      </c>
      <c r="C113" s="106">
        <f t="shared" si="0"/>
        <v>20</v>
      </c>
      <c r="D113" s="21" t="s">
        <v>92</v>
      </c>
      <c r="E113" s="168">
        <v>0.48958333333333331</v>
      </c>
      <c r="F113" s="168">
        <v>0.50694444444444442</v>
      </c>
      <c r="G113" s="104">
        <f t="shared" si="1"/>
        <v>1.7361111111111105E-2</v>
      </c>
      <c r="H113" s="204" t="s">
        <v>222</v>
      </c>
    </row>
    <row r="114" spans="2:8" ht="45" x14ac:dyDescent="0.25">
      <c r="B114" s="143">
        <v>44336</v>
      </c>
      <c r="C114" s="106">
        <f t="shared" si="0"/>
        <v>20</v>
      </c>
      <c r="D114" s="21" t="s">
        <v>91</v>
      </c>
      <c r="E114" s="168">
        <v>0.5625</v>
      </c>
      <c r="F114" s="168">
        <v>0.61805555555555558</v>
      </c>
      <c r="G114" s="104">
        <f t="shared" si="1"/>
        <v>5.555555555555558E-2</v>
      </c>
      <c r="H114" s="204" t="s">
        <v>223</v>
      </c>
    </row>
    <row r="115" spans="2:8" ht="30" x14ac:dyDescent="0.25">
      <c r="B115" s="143">
        <v>44336</v>
      </c>
      <c r="C115" s="106">
        <f t="shared" si="0"/>
        <v>20</v>
      </c>
      <c r="D115" s="21" t="s">
        <v>64</v>
      </c>
      <c r="E115" s="168">
        <v>0.61805555555555558</v>
      </c>
      <c r="F115" s="168">
        <v>0.63194444444444442</v>
      </c>
      <c r="G115" s="104">
        <f t="shared" si="1"/>
        <v>1.388888888888884E-2</v>
      </c>
      <c r="H115" s="204" t="s">
        <v>224</v>
      </c>
    </row>
    <row r="116" spans="2:8" ht="30" x14ac:dyDescent="0.25">
      <c r="B116" s="143">
        <v>44336</v>
      </c>
      <c r="C116" s="106">
        <f t="shared" si="0"/>
        <v>20</v>
      </c>
      <c r="D116" s="21" t="s">
        <v>91</v>
      </c>
      <c r="E116" s="168">
        <v>0.64236111111111105</v>
      </c>
      <c r="F116" s="168">
        <v>0.65625</v>
      </c>
      <c r="G116" s="104">
        <f t="shared" si="1"/>
        <v>1.3888888888888951E-2</v>
      </c>
      <c r="H116" s="204" t="s">
        <v>225</v>
      </c>
    </row>
    <row r="117" spans="2:8" ht="30" x14ac:dyDescent="0.25">
      <c r="B117" s="143">
        <v>44336</v>
      </c>
      <c r="C117" s="106">
        <f t="shared" si="0"/>
        <v>20</v>
      </c>
      <c r="D117" s="21" t="s">
        <v>161</v>
      </c>
      <c r="E117" s="168">
        <v>0.65625</v>
      </c>
      <c r="F117" s="168">
        <v>0.65972222222222221</v>
      </c>
      <c r="G117" s="104">
        <f t="shared" si="1"/>
        <v>3.4722222222222099E-3</v>
      </c>
      <c r="H117" s="204" t="s">
        <v>226</v>
      </c>
    </row>
    <row r="118" spans="2:8" ht="30" x14ac:dyDescent="0.25">
      <c r="B118" s="143">
        <v>44336</v>
      </c>
      <c r="C118" s="106">
        <f t="shared" si="0"/>
        <v>20</v>
      </c>
      <c r="D118" s="21" t="s">
        <v>100</v>
      </c>
      <c r="E118" s="168">
        <v>0.65972222222222221</v>
      </c>
      <c r="F118" s="168">
        <v>0.66666666666666663</v>
      </c>
      <c r="G118" s="104">
        <f t="shared" si="1"/>
        <v>6.9444444444444198E-3</v>
      </c>
      <c r="H118" s="204" t="s">
        <v>227</v>
      </c>
    </row>
    <row r="119" spans="2:8" ht="30" x14ac:dyDescent="0.25">
      <c r="B119" s="143">
        <v>44337</v>
      </c>
      <c r="C119" s="106">
        <f t="shared" si="0"/>
        <v>20</v>
      </c>
      <c r="D119" s="21" t="s">
        <v>82</v>
      </c>
      <c r="E119" s="168">
        <v>0.33680555555555558</v>
      </c>
      <c r="F119" s="168">
        <v>0.375</v>
      </c>
      <c r="G119" s="104">
        <f t="shared" si="1"/>
        <v>3.819444444444442E-2</v>
      </c>
      <c r="H119" s="204" t="s">
        <v>228</v>
      </c>
    </row>
    <row r="120" spans="2:8" ht="45" x14ac:dyDescent="0.25">
      <c r="B120" s="143">
        <v>44337</v>
      </c>
      <c r="C120" s="106">
        <f t="shared" si="0"/>
        <v>20</v>
      </c>
      <c r="D120" s="21" t="s">
        <v>83</v>
      </c>
      <c r="E120" s="168">
        <v>0.375</v>
      </c>
      <c r="F120" s="168">
        <v>0.39930555555555558</v>
      </c>
      <c r="G120" s="104">
        <f t="shared" si="1"/>
        <v>2.430555555555558E-2</v>
      </c>
      <c r="H120" s="204" t="s">
        <v>229</v>
      </c>
    </row>
    <row r="121" spans="2:8" ht="45" x14ac:dyDescent="0.25">
      <c r="B121" s="143">
        <v>44341</v>
      </c>
      <c r="C121" s="106">
        <f t="shared" si="0"/>
        <v>21</v>
      </c>
      <c r="D121" s="21" t="s">
        <v>73</v>
      </c>
      <c r="E121" s="168">
        <v>0.35069444444444442</v>
      </c>
      <c r="F121" s="168">
        <v>0.3576388888888889</v>
      </c>
      <c r="G121" s="104">
        <f t="shared" si="1"/>
        <v>6.9444444444444753E-3</v>
      </c>
      <c r="H121" s="204" t="s">
        <v>230</v>
      </c>
    </row>
    <row r="122" spans="2:8" ht="75" x14ac:dyDescent="0.25">
      <c r="B122" s="143">
        <v>44341</v>
      </c>
      <c r="C122" s="106">
        <f t="shared" si="0"/>
        <v>21</v>
      </c>
      <c r="D122" s="21" t="s">
        <v>65</v>
      </c>
      <c r="E122" s="168">
        <v>0.3576388888888889</v>
      </c>
      <c r="F122" s="168">
        <v>0.39930555555555558</v>
      </c>
      <c r="G122" s="104">
        <f t="shared" si="1"/>
        <v>4.1666666666666685E-2</v>
      </c>
      <c r="H122" s="204" t="s">
        <v>231</v>
      </c>
    </row>
    <row r="123" spans="2:8" ht="30" customHeight="1" x14ac:dyDescent="0.25">
      <c r="B123" s="143">
        <v>44341</v>
      </c>
      <c r="C123" s="106">
        <f t="shared" si="0"/>
        <v>21</v>
      </c>
      <c r="D123" s="21" t="s">
        <v>65</v>
      </c>
      <c r="E123" s="168">
        <v>0.40972222222222227</v>
      </c>
      <c r="F123" s="168">
        <v>0.47916666666666669</v>
      </c>
      <c r="G123" s="104">
        <f t="shared" si="1"/>
        <v>6.944444444444442E-2</v>
      </c>
      <c r="H123" s="204" t="s">
        <v>232</v>
      </c>
    </row>
    <row r="124" spans="2:8" ht="30" customHeight="1" x14ac:dyDescent="0.25">
      <c r="B124" s="143">
        <v>44341</v>
      </c>
      <c r="C124" s="106">
        <f t="shared" si="0"/>
        <v>21</v>
      </c>
      <c r="D124" s="21" t="s">
        <v>65</v>
      </c>
      <c r="E124" s="168">
        <v>0.47916666666666669</v>
      </c>
      <c r="F124" s="168">
        <v>0.5</v>
      </c>
      <c r="G124" s="104">
        <f t="shared" si="1"/>
        <v>2.0833333333333315E-2</v>
      </c>
      <c r="H124" s="204" t="s">
        <v>233</v>
      </c>
    </row>
    <row r="125" spans="2:8" ht="30" x14ac:dyDescent="0.25">
      <c r="B125" s="143">
        <v>44341</v>
      </c>
      <c r="C125" s="106">
        <f t="shared" si="0"/>
        <v>21</v>
      </c>
      <c r="D125" s="21" t="s">
        <v>98</v>
      </c>
      <c r="E125" s="168">
        <v>0.5</v>
      </c>
      <c r="F125" s="168">
        <v>0.51041666666666663</v>
      </c>
      <c r="G125" s="104">
        <f t="shared" si="1"/>
        <v>1.041666666666663E-2</v>
      </c>
      <c r="H125" s="204" t="s">
        <v>234</v>
      </c>
    </row>
    <row r="126" spans="2:8" ht="30" customHeight="1" x14ac:dyDescent="0.25">
      <c r="B126" s="143">
        <v>44341</v>
      </c>
      <c r="C126" s="106">
        <f t="shared" si="0"/>
        <v>21</v>
      </c>
      <c r="D126" s="21" t="s">
        <v>65</v>
      </c>
      <c r="E126" s="168">
        <v>0.63888888888888895</v>
      </c>
      <c r="F126" s="168">
        <v>0.65625</v>
      </c>
      <c r="G126" s="104">
        <f t="shared" si="1"/>
        <v>1.7361111111111049E-2</v>
      </c>
      <c r="H126" s="204" t="s">
        <v>235</v>
      </c>
    </row>
    <row r="127" spans="2:8" ht="30" x14ac:dyDescent="0.25">
      <c r="B127" s="143">
        <v>44341</v>
      </c>
      <c r="C127" s="106">
        <f t="shared" si="0"/>
        <v>21</v>
      </c>
      <c r="D127" s="21" t="s">
        <v>72</v>
      </c>
      <c r="E127" s="168">
        <v>0.65625</v>
      </c>
      <c r="F127" s="168">
        <v>0.67361111111111116</v>
      </c>
      <c r="G127" s="104">
        <f t="shared" si="1"/>
        <v>1.736111111111116E-2</v>
      </c>
      <c r="H127" s="204" t="s">
        <v>236</v>
      </c>
    </row>
    <row r="128" spans="2:8" ht="60" x14ac:dyDescent="0.25">
      <c r="B128" s="143">
        <v>44341</v>
      </c>
      <c r="C128" s="106">
        <f t="shared" si="0"/>
        <v>21</v>
      </c>
      <c r="D128" s="21" t="s">
        <v>72</v>
      </c>
      <c r="E128" s="168">
        <v>0.67708333333333337</v>
      </c>
      <c r="F128" s="168">
        <v>0.70138888888888884</v>
      </c>
      <c r="G128" s="104">
        <f t="shared" si="1"/>
        <v>2.4305555555555469E-2</v>
      </c>
      <c r="H128" s="204" t="s">
        <v>237</v>
      </c>
    </row>
    <row r="129" spans="2:8" ht="30" x14ac:dyDescent="0.25">
      <c r="B129" s="143">
        <v>44341</v>
      </c>
      <c r="C129" s="106">
        <f t="shared" si="0"/>
        <v>21</v>
      </c>
      <c r="D129" s="21" t="s">
        <v>100</v>
      </c>
      <c r="E129" s="168">
        <v>0.70138888888888884</v>
      </c>
      <c r="F129" s="168">
        <v>0.70486111111111116</v>
      </c>
      <c r="G129" s="104">
        <f t="shared" si="1"/>
        <v>3.4722222222223209E-3</v>
      </c>
      <c r="H129" s="204" t="s">
        <v>238</v>
      </c>
    </row>
    <row r="130" spans="2:8" ht="30" x14ac:dyDescent="0.25">
      <c r="B130" s="143">
        <v>44342</v>
      </c>
      <c r="C130" s="106">
        <f t="shared" si="0"/>
        <v>21</v>
      </c>
      <c r="D130" s="21" t="s">
        <v>160</v>
      </c>
      <c r="E130" s="168">
        <v>0.33333333333333331</v>
      </c>
      <c r="F130" s="168">
        <v>0.34722222222222227</v>
      </c>
      <c r="G130" s="104">
        <f t="shared" si="1"/>
        <v>1.3888888888888951E-2</v>
      </c>
      <c r="H130" s="204" t="s">
        <v>240</v>
      </c>
    </row>
    <row r="131" spans="2:8" ht="45" x14ac:dyDescent="0.25">
      <c r="B131" s="143">
        <v>44342</v>
      </c>
      <c r="C131" s="106">
        <f t="shared" si="0"/>
        <v>21</v>
      </c>
      <c r="D131" s="21" t="s">
        <v>65</v>
      </c>
      <c r="E131" s="168">
        <v>0.34722222222222227</v>
      </c>
      <c r="F131" s="168">
        <v>0.38541666666666669</v>
      </c>
      <c r="G131" s="104">
        <f t="shared" si="1"/>
        <v>3.819444444444442E-2</v>
      </c>
      <c r="H131" s="204" t="s">
        <v>241</v>
      </c>
    </row>
    <row r="132" spans="2:8" ht="30" x14ac:dyDescent="0.25">
      <c r="B132" s="143">
        <v>44342</v>
      </c>
      <c r="C132" s="106">
        <f t="shared" si="0"/>
        <v>21</v>
      </c>
      <c r="D132" s="21" t="s">
        <v>67</v>
      </c>
      <c r="E132" s="168">
        <v>0.38541666666666669</v>
      </c>
      <c r="F132" s="168">
        <v>0.39930555555555558</v>
      </c>
      <c r="G132" s="104">
        <f t="shared" si="1"/>
        <v>1.3888888888888895E-2</v>
      </c>
      <c r="H132" s="204" t="s">
        <v>242</v>
      </c>
    </row>
    <row r="133" spans="2:8" ht="30" x14ac:dyDescent="0.25">
      <c r="B133" s="143">
        <v>44342</v>
      </c>
      <c r="C133" s="106">
        <f t="shared" si="0"/>
        <v>21</v>
      </c>
      <c r="D133" s="21" t="s">
        <v>68</v>
      </c>
      <c r="E133" s="168">
        <v>0.40972222222222227</v>
      </c>
      <c r="F133" s="168">
        <v>0.4375</v>
      </c>
      <c r="G133" s="104">
        <f t="shared" si="1"/>
        <v>2.7777777777777735E-2</v>
      </c>
      <c r="H133" s="204" t="s">
        <v>243</v>
      </c>
    </row>
    <row r="134" spans="2:8" ht="45" x14ac:dyDescent="0.25">
      <c r="B134" s="143">
        <v>44342</v>
      </c>
      <c r="C134" s="106">
        <f t="shared" si="0"/>
        <v>21</v>
      </c>
      <c r="D134" s="21" t="s">
        <v>98</v>
      </c>
      <c r="E134" s="168">
        <v>0.4375</v>
      </c>
      <c r="F134" s="168">
        <v>0.51041666666666663</v>
      </c>
      <c r="G134" s="104">
        <f t="shared" si="1"/>
        <v>7.291666666666663E-2</v>
      </c>
      <c r="H134" s="204" t="s">
        <v>244</v>
      </c>
    </row>
    <row r="135" spans="2:8" ht="30" x14ac:dyDescent="0.25">
      <c r="B135" s="143">
        <v>44342</v>
      </c>
      <c r="C135" s="106">
        <f t="shared" si="0"/>
        <v>21</v>
      </c>
      <c r="D135" s="21" t="s">
        <v>98</v>
      </c>
      <c r="E135" s="168">
        <v>0.5625</v>
      </c>
      <c r="F135" s="168">
        <v>0.60069444444444442</v>
      </c>
      <c r="G135" s="104">
        <f t="shared" si="1"/>
        <v>3.819444444444442E-2</v>
      </c>
      <c r="H135" s="204" t="s">
        <v>245</v>
      </c>
    </row>
    <row r="136" spans="2:8" ht="30" x14ac:dyDescent="0.25">
      <c r="B136" s="143">
        <v>44343</v>
      </c>
      <c r="C136" s="106">
        <f t="shared" si="0"/>
        <v>21</v>
      </c>
      <c r="D136" s="21" t="s">
        <v>68</v>
      </c>
      <c r="E136" s="168">
        <v>0.33333333333333331</v>
      </c>
      <c r="F136" s="168">
        <v>0.3611111111111111</v>
      </c>
      <c r="G136" s="104">
        <f t="shared" si="1"/>
        <v>2.777777777777779E-2</v>
      </c>
      <c r="H136" s="204" t="s">
        <v>250</v>
      </c>
    </row>
    <row r="137" spans="2:8" x14ac:dyDescent="0.25">
      <c r="B137" s="143">
        <v>44343</v>
      </c>
      <c r="C137" s="106">
        <f t="shared" si="0"/>
        <v>21</v>
      </c>
      <c r="D137" s="21" t="s">
        <v>50</v>
      </c>
      <c r="E137" s="168">
        <v>0.36458333333333331</v>
      </c>
      <c r="F137" s="168">
        <v>0.375</v>
      </c>
      <c r="G137" s="104">
        <f t="shared" si="1"/>
        <v>1.0416666666666685E-2</v>
      </c>
      <c r="H137" s="204" t="s">
        <v>251</v>
      </c>
    </row>
    <row r="138" spans="2:8" ht="30" x14ac:dyDescent="0.25">
      <c r="B138" s="143">
        <v>44343</v>
      </c>
      <c r="C138" s="106">
        <f t="shared" si="0"/>
        <v>21</v>
      </c>
      <c r="D138" s="21" t="s">
        <v>98</v>
      </c>
      <c r="E138" s="168">
        <v>0.375</v>
      </c>
      <c r="F138" s="168">
        <v>0.39930555555555558</v>
      </c>
      <c r="G138" s="104">
        <f t="shared" si="1"/>
        <v>2.430555555555558E-2</v>
      </c>
      <c r="H138" s="204" t="s">
        <v>252</v>
      </c>
    </row>
    <row r="139" spans="2:8" ht="30" x14ac:dyDescent="0.25">
      <c r="B139" s="143">
        <v>44343</v>
      </c>
      <c r="C139" s="106">
        <f t="shared" si="0"/>
        <v>21</v>
      </c>
      <c r="D139" s="21" t="s">
        <v>98</v>
      </c>
      <c r="E139" s="168">
        <v>0.40972222222222227</v>
      </c>
      <c r="F139" s="168">
        <v>0.47916666666666669</v>
      </c>
      <c r="G139" s="104">
        <f t="shared" si="1"/>
        <v>6.944444444444442E-2</v>
      </c>
      <c r="H139" s="204" t="s">
        <v>253</v>
      </c>
    </row>
    <row r="140" spans="2:8" x14ac:dyDescent="0.25">
      <c r="B140" s="143">
        <v>44343</v>
      </c>
      <c r="C140" s="106">
        <f t="shared" si="0"/>
        <v>21</v>
      </c>
      <c r="D140" s="21" t="s">
        <v>49</v>
      </c>
      <c r="E140" s="168">
        <v>0.47916666666666669</v>
      </c>
      <c r="F140" s="168">
        <v>0.5</v>
      </c>
      <c r="G140" s="104">
        <f t="shared" si="1"/>
        <v>2.0833333333333315E-2</v>
      </c>
      <c r="H140" s="204" t="s">
        <v>254</v>
      </c>
    </row>
    <row r="141" spans="2:8" ht="45" x14ac:dyDescent="0.25">
      <c r="B141" s="143">
        <v>44343</v>
      </c>
      <c r="C141" s="106">
        <f t="shared" si="0"/>
        <v>21</v>
      </c>
      <c r="D141" s="21" t="s">
        <v>64</v>
      </c>
      <c r="E141" s="168">
        <v>0.5625</v>
      </c>
      <c r="F141" s="168">
        <v>0.57638888888888895</v>
      </c>
      <c r="G141" s="104">
        <f t="shared" si="1"/>
        <v>1.3888888888888951E-2</v>
      </c>
      <c r="H141" s="204" t="s">
        <v>255</v>
      </c>
    </row>
    <row r="142" spans="2:8" ht="45" x14ac:dyDescent="0.25">
      <c r="B142" s="143">
        <v>44343</v>
      </c>
      <c r="C142" s="106">
        <f t="shared" si="0"/>
        <v>21</v>
      </c>
      <c r="D142" s="21" t="s">
        <v>50</v>
      </c>
      <c r="E142" s="168">
        <v>0.57638888888888895</v>
      </c>
      <c r="F142" s="168">
        <v>0.62847222222222221</v>
      </c>
      <c r="G142" s="104">
        <f t="shared" si="1"/>
        <v>5.2083333333333259E-2</v>
      </c>
      <c r="H142" s="204" t="s">
        <v>256</v>
      </c>
    </row>
    <row r="143" spans="2:8" ht="30" x14ac:dyDescent="0.25">
      <c r="B143" s="143">
        <v>44343</v>
      </c>
      <c r="C143" s="106">
        <f t="shared" si="0"/>
        <v>21</v>
      </c>
      <c r="D143" s="21" t="s">
        <v>257</v>
      </c>
      <c r="E143" s="168">
        <v>0.63888888888888895</v>
      </c>
      <c r="F143" s="168">
        <v>0.65277777777777779</v>
      </c>
      <c r="G143" s="104">
        <f t="shared" si="1"/>
        <v>1.388888888888884E-2</v>
      </c>
      <c r="H143" s="204" t="s">
        <v>258</v>
      </c>
    </row>
    <row r="144" spans="2:8" x14ac:dyDescent="0.25">
      <c r="B144" s="143">
        <v>44343</v>
      </c>
      <c r="C144" s="106">
        <f t="shared" si="0"/>
        <v>21</v>
      </c>
      <c r="D144" s="21" t="s">
        <v>50</v>
      </c>
      <c r="E144" s="168">
        <v>0.65277777777777779</v>
      </c>
      <c r="F144" s="168">
        <v>0.65972222222222221</v>
      </c>
      <c r="G144" s="104">
        <f t="shared" si="1"/>
        <v>6.9444444444444198E-3</v>
      </c>
      <c r="H144" s="204" t="s">
        <v>259</v>
      </c>
    </row>
    <row r="145" spans="2:8" ht="30" x14ac:dyDescent="0.25">
      <c r="B145" s="143">
        <v>44343</v>
      </c>
      <c r="C145" s="106">
        <f t="shared" si="0"/>
        <v>21</v>
      </c>
      <c r="D145" s="21" t="s">
        <v>100</v>
      </c>
      <c r="E145" s="168">
        <v>0.65972222222222221</v>
      </c>
      <c r="F145" s="168">
        <v>0.66319444444444442</v>
      </c>
      <c r="G145" s="104">
        <f t="shared" si="1"/>
        <v>3.4722222222222099E-3</v>
      </c>
      <c r="H145" s="204" t="s">
        <v>260</v>
      </c>
    </row>
    <row r="146" spans="2:8" x14ac:dyDescent="0.25">
      <c r="B146" s="143">
        <v>44347</v>
      </c>
      <c r="C146" s="106">
        <f t="shared" si="0"/>
        <v>22</v>
      </c>
      <c r="D146" s="21" t="s">
        <v>50</v>
      </c>
      <c r="E146" s="168">
        <v>0.40972222222222227</v>
      </c>
      <c r="F146" s="168">
        <v>0.41666666666666669</v>
      </c>
      <c r="G146" s="104">
        <f t="shared" si="1"/>
        <v>6.9444444444444198E-3</v>
      </c>
      <c r="H146" s="204" t="s">
        <v>261</v>
      </c>
    </row>
    <row r="147" spans="2:8" ht="30" x14ac:dyDescent="0.25">
      <c r="B147" s="143">
        <v>44347</v>
      </c>
      <c r="C147" s="106">
        <f t="shared" si="0"/>
        <v>22</v>
      </c>
      <c r="D147" s="21" t="s">
        <v>98</v>
      </c>
      <c r="E147" s="168">
        <v>0.41666666666666669</v>
      </c>
      <c r="F147" s="168">
        <v>0.45833333333333331</v>
      </c>
      <c r="G147" s="104">
        <f t="shared" si="1"/>
        <v>4.166666666666663E-2</v>
      </c>
      <c r="H147" s="204" t="s">
        <v>265</v>
      </c>
    </row>
    <row r="148" spans="2:8" ht="30" x14ac:dyDescent="0.25">
      <c r="B148" s="143">
        <v>44347</v>
      </c>
      <c r="C148" s="106">
        <f t="shared" si="0"/>
        <v>22</v>
      </c>
      <c r="D148" s="21" t="s">
        <v>64</v>
      </c>
      <c r="E148" s="168">
        <v>0.45833333333333331</v>
      </c>
      <c r="F148" s="168">
        <v>0.46180555555555558</v>
      </c>
      <c r="G148" s="104">
        <f t="shared" si="1"/>
        <v>3.4722222222222654E-3</v>
      </c>
      <c r="H148" s="204" t="s">
        <v>266</v>
      </c>
    </row>
    <row r="149" spans="2:8" ht="30" x14ac:dyDescent="0.25">
      <c r="B149" s="143">
        <v>44347</v>
      </c>
      <c r="C149" s="106">
        <f t="shared" si="0"/>
        <v>22</v>
      </c>
      <c r="D149" s="21" t="s">
        <v>98</v>
      </c>
      <c r="E149" s="168">
        <v>0.46180555555555558</v>
      </c>
      <c r="F149" s="168">
        <v>0.49305555555555558</v>
      </c>
      <c r="G149" s="104">
        <f t="shared" si="1"/>
        <v>3.125E-2</v>
      </c>
      <c r="H149" s="204" t="s">
        <v>267</v>
      </c>
    </row>
    <row r="150" spans="2:8" ht="45" x14ac:dyDescent="0.25">
      <c r="B150" s="143">
        <v>44347</v>
      </c>
      <c r="C150" s="106">
        <f t="shared" si="0"/>
        <v>22</v>
      </c>
      <c r="D150" s="21" t="s">
        <v>98</v>
      </c>
      <c r="E150" s="168">
        <v>0.5625</v>
      </c>
      <c r="F150" s="168">
        <v>0.625</v>
      </c>
      <c r="G150" s="104">
        <f t="shared" si="1"/>
        <v>6.25E-2</v>
      </c>
      <c r="H150" s="204" t="s">
        <v>268</v>
      </c>
    </row>
    <row r="151" spans="2:8" ht="30" x14ac:dyDescent="0.25">
      <c r="B151" s="143">
        <v>44347</v>
      </c>
      <c r="C151" s="106">
        <f t="shared" si="0"/>
        <v>22</v>
      </c>
      <c r="D151" s="21" t="s">
        <v>98</v>
      </c>
      <c r="E151" s="168">
        <v>0.64236111111111105</v>
      </c>
      <c r="F151" s="168">
        <v>0.69097222222222221</v>
      </c>
      <c r="G151" s="104">
        <f t="shared" si="1"/>
        <v>4.861111111111116E-2</v>
      </c>
      <c r="H151" s="204" t="s">
        <v>269</v>
      </c>
    </row>
    <row r="152" spans="2:8" ht="30" x14ac:dyDescent="0.25">
      <c r="B152" s="143">
        <v>44347</v>
      </c>
      <c r="C152" s="106">
        <f t="shared" si="0"/>
        <v>22</v>
      </c>
      <c r="D152" s="21" t="s">
        <v>98</v>
      </c>
      <c r="E152" s="168">
        <v>0.69097222222222221</v>
      </c>
      <c r="F152" s="168">
        <v>0.70486111111111116</v>
      </c>
      <c r="G152" s="104">
        <f t="shared" si="1"/>
        <v>1.3888888888888951E-2</v>
      </c>
      <c r="H152" s="204" t="s">
        <v>270</v>
      </c>
    </row>
    <row r="153" spans="2:8" x14ac:dyDescent="0.25">
      <c r="B153" s="143"/>
      <c r="C153" s="106" t="str">
        <f t="shared" si="0"/>
        <v/>
      </c>
      <c r="D153" s="21"/>
      <c r="E153" s="168"/>
      <c r="F153" s="168"/>
      <c r="G153" s="104">
        <f t="shared" si="1"/>
        <v>0</v>
      </c>
      <c r="H153" s="204"/>
    </row>
    <row r="154" spans="2:8" x14ac:dyDescent="0.25">
      <c r="B154" s="143"/>
      <c r="C154" s="106" t="str">
        <f t="shared" si="0"/>
        <v/>
      </c>
      <c r="D154" s="21"/>
      <c r="E154" s="168"/>
      <c r="F154" s="168"/>
      <c r="G154" s="104">
        <f t="shared" si="1"/>
        <v>0</v>
      </c>
      <c r="H154" s="204"/>
    </row>
    <row r="155" spans="2:8" x14ac:dyDescent="0.25">
      <c r="B155" s="143"/>
      <c r="C155" s="106" t="str">
        <f t="shared" si="0"/>
        <v/>
      </c>
      <c r="D155" s="21"/>
      <c r="E155" s="168"/>
      <c r="F155" s="168"/>
      <c r="G155" s="104">
        <f t="shared" si="1"/>
        <v>0</v>
      </c>
      <c r="H155" s="204"/>
    </row>
    <row r="156" spans="2:8" x14ac:dyDescent="0.25">
      <c r="B156" s="143"/>
      <c r="C156" s="106" t="str">
        <f t="shared" si="0"/>
        <v/>
      </c>
      <c r="D156" s="21"/>
      <c r="E156" s="168"/>
      <c r="F156" s="168"/>
      <c r="G156" s="104">
        <f t="shared" si="1"/>
        <v>0</v>
      </c>
      <c r="H156" s="204"/>
    </row>
    <row r="157" spans="2:8" x14ac:dyDescent="0.25">
      <c r="B157" s="143"/>
      <c r="C157" s="106" t="str">
        <f t="shared" si="0"/>
        <v/>
      </c>
      <c r="D157" s="21"/>
      <c r="E157" s="168"/>
      <c r="F157" s="168"/>
      <c r="G157" s="104">
        <f t="shared" si="1"/>
        <v>0</v>
      </c>
      <c r="H157" s="204"/>
    </row>
    <row r="158" spans="2:8" x14ac:dyDescent="0.25">
      <c r="B158" s="143"/>
      <c r="C158" s="106" t="str">
        <f t="shared" si="0"/>
        <v/>
      </c>
      <c r="D158" s="21"/>
      <c r="E158" s="168"/>
      <c r="F158" s="168"/>
      <c r="G158" s="104">
        <f t="shared" si="1"/>
        <v>0</v>
      </c>
      <c r="H158" s="204"/>
    </row>
    <row r="159" spans="2:8" x14ac:dyDescent="0.25">
      <c r="B159" s="143"/>
      <c r="C159" s="106" t="str">
        <f t="shared" si="0"/>
        <v/>
      </c>
      <c r="D159" s="21"/>
      <c r="E159" s="168"/>
      <c r="F159" s="168"/>
      <c r="G159" s="104">
        <f t="shared" si="1"/>
        <v>0</v>
      </c>
      <c r="H159" s="204"/>
    </row>
    <row r="160" spans="2:8" x14ac:dyDescent="0.25">
      <c r="B160" s="143"/>
      <c r="C160" s="106" t="str">
        <f t="shared" si="0"/>
        <v/>
      </c>
      <c r="D160" s="21"/>
      <c r="E160" s="168"/>
      <c r="F160" s="168"/>
      <c r="G160" s="104">
        <f t="shared" si="1"/>
        <v>0</v>
      </c>
      <c r="H160" s="204"/>
    </row>
    <row r="161" spans="2:8" x14ac:dyDescent="0.25">
      <c r="B161" s="143"/>
      <c r="C161" s="106" t="str">
        <f t="shared" si="0"/>
        <v/>
      </c>
      <c r="D161" s="21"/>
      <c r="E161" s="168"/>
      <c r="F161" s="168"/>
      <c r="G161" s="104">
        <f t="shared" si="1"/>
        <v>0</v>
      </c>
      <c r="H161" s="204"/>
    </row>
    <row r="162" spans="2:8" x14ac:dyDescent="0.25">
      <c r="B162" s="143"/>
      <c r="C162" s="106" t="str">
        <f t="shared" si="0"/>
        <v/>
      </c>
      <c r="D162" s="21"/>
      <c r="E162" s="168"/>
      <c r="F162" s="168"/>
      <c r="G162" s="104">
        <f t="shared" si="1"/>
        <v>0</v>
      </c>
      <c r="H162" s="204"/>
    </row>
    <row r="163" spans="2:8" x14ac:dyDescent="0.25">
      <c r="B163" s="143"/>
      <c r="C163" s="106" t="str">
        <f t="shared" si="0"/>
        <v/>
      </c>
      <c r="D163" s="21"/>
      <c r="E163" s="168"/>
      <c r="F163" s="168"/>
      <c r="G163" s="104">
        <f t="shared" si="1"/>
        <v>0</v>
      </c>
      <c r="H163" s="204"/>
    </row>
    <row r="164" spans="2:8" x14ac:dyDescent="0.25">
      <c r="B164" s="143"/>
      <c r="C164" s="106" t="str">
        <f t="shared" si="0"/>
        <v/>
      </c>
      <c r="D164" s="21"/>
      <c r="E164" s="168"/>
      <c r="F164" s="168"/>
      <c r="G164" s="104">
        <f t="shared" si="1"/>
        <v>0</v>
      </c>
      <c r="H164" s="204"/>
    </row>
    <row r="165" spans="2:8" x14ac:dyDescent="0.25">
      <c r="B165" s="143"/>
      <c r="C165" s="106" t="str">
        <f t="shared" si="0"/>
        <v/>
      </c>
      <c r="D165" s="21"/>
      <c r="E165" s="168"/>
      <c r="F165" s="168"/>
      <c r="G165" s="104">
        <f t="shared" si="1"/>
        <v>0</v>
      </c>
      <c r="H165" s="204"/>
    </row>
    <row r="167" spans="2:8" ht="15" customHeight="1" x14ac:dyDescent="0.25">
      <c r="D167" s="206" t="s">
        <v>249</v>
      </c>
      <c r="E167" s="207">
        <f>SUM(G4:G165)</f>
        <v>3.295138888888888</v>
      </c>
    </row>
    <row r="168" spans="2:8" ht="15" customHeight="1" x14ac:dyDescent="0.25">
      <c r="D168" s="206" t="s">
        <v>44</v>
      </c>
      <c r="E168" s="144">
        <f>SUMIF($C$4:$C$165,18,$G$4:$G$165)</f>
        <v>0.86458333333333326</v>
      </c>
    </row>
    <row r="169" spans="2:8" ht="15" customHeight="1" x14ac:dyDescent="0.25">
      <c r="D169" s="206" t="s">
        <v>45</v>
      </c>
      <c r="E169" s="144">
        <f>SUMIF($C$4:$C$165,19,$G$4:$G$165)</f>
        <v>0.6979166666666663</v>
      </c>
    </row>
    <row r="170" spans="2:8" ht="15" customHeight="1" x14ac:dyDescent="0.25">
      <c r="D170" s="206" t="s">
        <v>46</v>
      </c>
      <c r="E170" s="144">
        <f>SUMIF($C$4:$C$165,20,$G$4:$G$165)</f>
        <v>0.86458333333333326</v>
      </c>
    </row>
    <row r="171" spans="2:8" ht="15" customHeight="1" x14ac:dyDescent="0.25">
      <c r="D171" s="206" t="s">
        <v>47</v>
      </c>
      <c r="E171" s="144">
        <f>SUMIF($C$4:$C$165,21,$G$4:$G$165)</f>
        <v>0.6597222222222221</v>
      </c>
    </row>
    <row r="172" spans="2:8" ht="15" customHeight="1" x14ac:dyDescent="0.25">
      <c r="D172" s="206" t="s">
        <v>48</v>
      </c>
      <c r="E172" s="144">
        <f>SUMIF($C$4:$C$165,22,$G$4:$G$165)</f>
        <v>0.20833333333333343</v>
      </c>
    </row>
  </sheetData>
  <mergeCells count="2">
    <mergeCell ref="D1:E1"/>
    <mergeCell ref="B2:H2"/>
  </mergeCells>
  <conditionalFormatting sqref="F1 E166:F166 F3:F4 E173: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65">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74:B1048576 D167:D172 B1:B166"/>
  </dataValidations>
  <pageMargins left="0.70866141732283472" right="0.70866141732283472" top="0.74803149606299213" bottom="0.74803149606299213" header="0.31496062992125984" footer="0.31496062992125984"/>
  <pageSetup paperSize="9" scale="79"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D4:D165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2" tint="-9.9978637043366805E-2"/>
    <pageSetUpPr fitToPage="1"/>
  </sheetPr>
  <dimension ref="B1:D66"/>
  <sheetViews>
    <sheetView showGridLines="0" topLeftCell="A28" zoomScaleNormal="100" workbookViewId="0">
      <selection activeCell="H50" sqref="H50"/>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197" t="s">
        <v>125</v>
      </c>
      <c r="D1" s="196">
        <f ca="1">TODAY()</f>
        <v>44347</v>
      </c>
    </row>
    <row r="2" spans="2:4" ht="29.25" customHeight="1" thickBot="1" x14ac:dyDescent="0.3">
      <c r="B2" s="240" t="s">
        <v>42</v>
      </c>
      <c r="C2" s="240"/>
      <c r="D2" s="240"/>
    </row>
    <row r="3" spans="2:4" s="99" customFormat="1" x14ac:dyDescent="0.25">
      <c r="B3" s="134" t="s">
        <v>37</v>
      </c>
      <c r="C3" s="134" t="s">
        <v>28</v>
      </c>
      <c r="D3" s="105" t="s">
        <v>38</v>
      </c>
    </row>
    <row r="4" spans="2:4" x14ac:dyDescent="0.25">
      <c r="B4" s="139" t="str">
        <f>Base!I4</f>
        <v>101 planification initiale</v>
      </c>
      <c r="C4" s="135">
        <f>SUMIF(Journal!$D$4:$D$165,B4,Journal!$G$4:$G$165)</f>
        <v>3.125E-2</v>
      </c>
      <c r="D4" s="140" t="s">
        <v>103</v>
      </c>
    </row>
    <row r="5" spans="2:4" x14ac:dyDescent="0.25">
      <c r="B5" s="139" t="str">
        <f>Base!I5</f>
        <v>102 objectifs du projet</v>
      </c>
      <c r="C5" s="135">
        <f>SUMIF(Journal!$D$4:$D$165,B5,Journal!$G$4:$G$165)</f>
        <v>1.736111111111116E-2</v>
      </c>
      <c r="D5" s="140" t="s">
        <v>103</v>
      </c>
    </row>
    <row r="6" spans="2:4" x14ac:dyDescent="0.25">
      <c r="B6" s="139" t="str">
        <f>Base!I6</f>
        <v>103 introduction du projet</v>
      </c>
      <c r="C6" s="135">
        <f>SUMIF(Journal!$D$4:$D$165,B6,Journal!$G$4:$G$165)</f>
        <v>1.388888888888884E-2</v>
      </c>
      <c r="D6" s="140" t="s">
        <v>103</v>
      </c>
    </row>
    <row r="7" spans="2:4" x14ac:dyDescent="0.25">
      <c r="B7" s="139" t="str">
        <f>Base!I7</f>
        <v>104 découpage du projet en tâches distinctes</v>
      </c>
      <c r="C7" s="135">
        <f>SUMIF(Journal!$D$4:$D$165,B7,Journal!$G$4:$G$165)</f>
        <v>4.1666666666666685E-2</v>
      </c>
      <c r="D7" s="140" t="s">
        <v>103</v>
      </c>
    </row>
    <row r="8" spans="2:4" x14ac:dyDescent="0.25">
      <c r="B8" s="139" t="str">
        <f>Base!I8</f>
        <v>105 -</v>
      </c>
      <c r="C8" s="135">
        <f>SUMIF(Journal!$D$4:$D$165,B8,Journal!$G$4:$G$165)</f>
        <v>0</v>
      </c>
      <c r="D8" s="140"/>
    </row>
    <row r="9" spans="2:4" x14ac:dyDescent="0.25">
      <c r="B9" s="139" t="str">
        <f>Base!I9</f>
        <v>106 -</v>
      </c>
      <c r="C9" s="135">
        <f>SUMIF(Journal!$D$4:$D$165,B9,Journal!$G$4:$G$165)</f>
        <v>0</v>
      </c>
      <c r="D9" s="140"/>
    </row>
    <row r="10" spans="2:4" x14ac:dyDescent="0.25">
      <c r="B10" s="139" t="str">
        <f>Base!I10</f>
        <v>201 choix de l'architecture</v>
      </c>
      <c r="C10" s="135">
        <f>SUMIF(Journal!$D$4:$D$165,B10,Journal!$G$4:$G$165)</f>
        <v>1.736111111111116E-2</v>
      </c>
      <c r="D10" s="140" t="s">
        <v>103</v>
      </c>
    </row>
    <row r="11" spans="2:4" x14ac:dyDescent="0.25">
      <c r="B11" s="139" t="str">
        <f>Base!I11</f>
        <v>202 modélisation conceptuelle de la BDD</v>
      </c>
      <c r="C11" s="135">
        <f>SUMIF(Journal!$D$4:$D$165,B11,Journal!$G$4:$G$165)</f>
        <v>5.5555555555555525E-2</v>
      </c>
      <c r="D11" s="140" t="s">
        <v>103</v>
      </c>
    </row>
    <row r="12" spans="2:4" x14ac:dyDescent="0.25">
      <c r="B12" s="139" t="str">
        <f>Base!I12</f>
        <v>203 modélisation logique de la BDD</v>
      </c>
      <c r="C12" s="135">
        <f>SUMIF(Journal!$D$4:$D$165,B12,Journal!$G$4:$G$165)</f>
        <v>3.472222222222221E-2</v>
      </c>
      <c r="D12" s="140" t="s">
        <v>103</v>
      </c>
    </row>
    <row r="13" spans="2:4" x14ac:dyDescent="0.25">
      <c r="B13" s="139" t="str">
        <f>Base!I13</f>
        <v>204 maquettes de l'application</v>
      </c>
      <c r="C13" s="135">
        <f>SUMIF(Journal!$D$4:$D$165,B13,Journal!$G$4:$G$165)</f>
        <v>0.10069444444444453</v>
      </c>
      <c r="D13" s="140" t="s">
        <v>103</v>
      </c>
    </row>
    <row r="14" spans="2:4" x14ac:dyDescent="0.25">
      <c r="B14" s="139" t="str">
        <f>Base!I14</f>
        <v>205 diagrammes de flux</v>
      </c>
      <c r="C14" s="135">
        <f>SUMIF(Journal!$D$4:$D$165,B14,Journal!$G$4:$G$165)</f>
        <v>1.3888888888888895E-2</v>
      </c>
      <c r="D14" s="140"/>
    </row>
    <row r="15" spans="2:4" x14ac:dyDescent="0.25">
      <c r="B15" s="139" t="str">
        <f>Base!I15</f>
        <v>206 cas d'utilisation de l'application</v>
      </c>
      <c r="C15" s="135">
        <f>SUMIF(Journal!$D$4:$D$165,B15,Journal!$G$4:$G$165)</f>
        <v>3.1249999999999944E-2</v>
      </c>
      <c r="D15" s="140" t="s">
        <v>103</v>
      </c>
    </row>
    <row r="16" spans="2:4" x14ac:dyDescent="0.25">
      <c r="B16" s="139" t="str">
        <f>Base!I16</f>
        <v>207 scénarios de l'application</v>
      </c>
      <c r="C16" s="135">
        <f>SUMIF(Journal!$D$4:$D$165,B16,Journal!$G$4:$G$165)</f>
        <v>8.3333333333333315E-2</v>
      </c>
      <c r="D16" s="140" t="s">
        <v>103</v>
      </c>
    </row>
    <row r="17" spans="2:4" x14ac:dyDescent="0.25">
      <c r="B17" s="139" t="str">
        <f>Base!I17</f>
        <v>208 diagrammes de classe</v>
      </c>
      <c r="C17" s="135">
        <f>SUMIF(Journal!$D$4:$D$165,B17,Journal!$G$4:$G$165)</f>
        <v>3.1250000000000056E-2</v>
      </c>
      <c r="D17" s="140" t="s">
        <v>103</v>
      </c>
    </row>
    <row r="18" spans="2:4" x14ac:dyDescent="0.25">
      <c r="B18" s="139" t="str">
        <f>Base!I18</f>
        <v>209 schéma de navigation de l'application</v>
      </c>
      <c r="C18" s="135">
        <f>SUMIF(Journal!$D$4:$D$165,B18,Journal!$G$4:$G$165)</f>
        <v>2.430555555555558E-2</v>
      </c>
      <c r="D18" s="140" t="s">
        <v>103</v>
      </c>
    </row>
    <row r="19" spans="2:4" x14ac:dyDescent="0.25">
      <c r="B19" s="139" t="str">
        <f>Base!I19</f>
        <v>210 fonctionnalités du projet</v>
      </c>
      <c r="C19" s="135">
        <f>SUMIF(Journal!$D$4:$D$165,B19,Journal!$G$4:$G$165)</f>
        <v>5.2083333333333315E-2</v>
      </c>
      <c r="D19" s="140" t="s">
        <v>103</v>
      </c>
    </row>
    <row r="20" spans="2:4" x14ac:dyDescent="0.25">
      <c r="B20" s="139" t="str">
        <f>Base!I20</f>
        <v>211 déclaration du cadre du projet</v>
      </c>
      <c r="C20" s="135">
        <f>SUMIF(Journal!$D$4:$D$165,B20,Journal!$G$4:$G$165)</f>
        <v>1.388888888888884E-2</v>
      </c>
      <c r="D20" s="140" t="s">
        <v>103</v>
      </c>
    </row>
    <row r="21" spans="2:4" x14ac:dyDescent="0.25">
      <c r="B21" s="139" t="str">
        <f>Base!I21</f>
        <v>212 risques techniques</v>
      </c>
      <c r="C21" s="135">
        <f>SUMIF(Journal!$D$4:$D$165,B21,Journal!$G$4:$G$165)</f>
        <v>0</v>
      </c>
      <c r="D21" s="140" t="s">
        <v>103</v>
      </c>
    </row>
    <row r="22" spans="2:4" x14ac:dyDescent="0.25">
      <c r="B22" s="139" t="str">
        <f>Base!I22</f>
        <v>213 planification définitive</v>
      </c>
      <c r="C22" s="135">
        <f>SUMIF(Journal!$D$4:$D$165,B22,Journal!$G$4:$G$165)</f>
        <v>1.7361111111111049E-2</v>
      </c>
      <c r="D22" s="140" t="s">
        <v>103</v>
      </c>
    </row>
    <row r="23" spans="2:4" x14ac:dyDescent="0.25">
      <c r="B23" s="139" t="str">
        <f>Base!I23</f>
        <v>214 recherche sur l'impression depuis l'application</v>
      </c>
      <c r="C23" s="135">
        <f>SUMIF(Journal!$D$4:$D$165,B23,Journal!$G$4:$G$165)</f>
        <v>4.1666666666666685E-2</v>
      </c>
      <c r="D23" s="140" t="s">
        <v>103</v>
      </c>
    </row>
    <row r="24" spans="2:4" x14ac:dyDescent="0.25">
      <c r="B24" s="139" t="str">
        <f>Base!I24</f>
        <v>215 matériel hardware et software</v>
      </c>
      <c r="C24" s="135">
        <f>SUMIF(Journal!$D$4:$D$165,B24,Journal!$G$4:$G$165)</f>
        <v>2.083333333333337E-2</v>
      </c>
      <c r="D24" s="140" t="s">
        <v>103</v>
      </c>
    </row>
    <row r="25" spans="2:4" x14ac:dyDescent="0.25">
      <c r="B25" s="139" t="str">
        <f>Base!I25</f>
        <v>216 -</v>
      </c>
      <c r="C25" s="135">
        <f>SUMIF(Journal!$D$4:$D$165,B25,Journal!$G$4:$G$165)</f>
        <v>0</v>
      </c>
      <c r="D25" s="140"/>
    </row>
    <row r="26" spans="2:4" x14ac:dyDescent="0.25">
      <c r="B26" s="139" t="str">
        <f>Base!I26</f>
        <v>300 mise en place de la BDD</v>
      </c>
      <c r="C26" s="135">
        <f>SUMIF(Journal!$D$4:$D$165,B26,Journal!$G$4:$G$165)</f>
        <v>9.3749999999999944E-2</v>
      </c>
      <c r="D26" s="140" t="s">
        <v>103</v>
      </c>
    </row>
    <row r="27" spans="2:4" x14ac:dyDescent="0.25">
      <c r="B27" s="139" t="str">
        <f>Base!I27</f>
        <v>301 réaliser la partie graphique de l'application</v>
      </c>
      <c r="C27" s="135">
        <f>SUMIF(Journal!$D$4:$D$165,B27,Journal!$G$4:$G$165)</f>
        <v>0.11458333333333326</v>
      </c>
      <c r="D27" s="140" t="s">
        <v>103</v>
      </c>
    </row>
    <row r="28" spans="2:4" x14ac:dyDescent="0.25">
      <c r="B28" s="139" t="str">
        <f>Base!I28</f>
        <v>302 mettre en place la connexion à la BDD</v>
      </c>
      <c r="C28" s="135">
        <f>SUMIF(Journal!$D$4:$D$165,B28,Journal!$G$4:$G$165)</f>
        <v>1.7361111111111105E-2</v>
      </c>
      <c r="D28" s="140" t="s">
        <v>103</v>
      </c>
    </row>
    <row r="29" spans="2:4" x14ac:dyDescent="0.25">
      <c r="B29" s="139" t="str">
        <f>Base!I29</f>
        <v>303 mettre en place la classe "bouteille"</v>
      </c>
      <c r="C29" s="135">
        <f>SUMIF(Journal!$D$4:$D$165,B29,Journal!$G$4:$G$165)</f>
        <v>4.5138888888888729E-2</v>
      </c>
      <c r="D29" s="140" t="s">
        <v>103</v>
      </c>
    </row>
    <row r="30" spans="2:4" x14ac:dyDescent="0.25">
      <c r="B30" s="139" t="str">
        <f>Base!I30</f>
        <v>304 mettre en place la classe "casier"</v>
      </c>
      <c r="C30" s="135">
        <f>SUMIF(Journal!$D$4:$D$165,B30,Journal!$G$4:$G$165)</f>
        <v>1.3888888888888895E-2</v>
      </c>
      <c r="D30" s="140" t="s">
        <v>103</v>
      </c>
    </row>
    <row r="31" spans="2:4" x14ac:dyDescent="0.25">
      <c r="B31" s="139" t="str">
        <f>Base!I31</f>
        <v>305 implémenter l'ajout de bouteilles</v>
      </c>
      <c r="C31" s="135">
        <f>SUMIF(Journal!$D$4:$D$165,B31,Journal!$G$4:$G$165)</f>
        <v>0.28125000000000006</v>
      </c>
      <c r="D31" s="140" t="s">
        <v>103</v>
      </c>
    </row>
    <row r="32" spans="2:4" x14ac:dyDescent="0.25">
      <c r="B32" s="139" t="str">
        <f>Base!I32</f>
        <v>306 implémenter le retrait de bouteilles</v>
      </c>
      <c r="C32" s="135">
        <f>SUMIF(Journal!$D$4:$D$165,B32,Journal!$G$4:$G$165)</f>
        <v>8.333333333333337E-2</v>
      </c>
      <c r="D32" s="140" t="s">
        <v>103</v>
      </c>
    </row>
    <row r="33" spans="2:4" x14ac:dyDescent="0.25">
      <c r="B33" s="139" t="str">
        <f>Base!I33</f>
        <v>307 implémenter l'historisation des actions effectuées</v>
      </c>
      <c r="C33" s="135">
        <f>SUMIF(Journal!$D$4:$D$165,B33,Journal!$G$4:$G$165)</f>
        <v>5.2083333333333315E-2</v>
      </c>
      <c r="D33" s="140" t="s">
        <v>103</v>
      </c>
    </row>
    <row r="34" spans="2:4" x14ac:dyDescent="0.25">
      <c r="B34" s="139" t="str">
        <f>Base!I34</f>
        <v>308 implémenter la recherche par mot-clé</v>
      </c>
      <c r="C34" s="135">
        <f>SUMIF(Journal!$D$4:$D$165,B34,Journal!$G$4:$G$165)</f>
        <v>3.819444444444442E-2</v>
      </c>
      <c r="D34" s="140" t="s">
        <v>103</v>
      </c>
    </row>
    <row r="35" spans="2:4" x14ac:dyDescent="0.25">
      <c r="B35" s="139" t="str">
        <f>Base!I35</f>
        <v>309 implémenter la recherche par couleur de robe</v>
      </c>
      <c r="C35" s="135">
        <f>SUMIF(Journal!$D$4:$D$165,B35,Journal!$G$4:$G$165)</f>
        <v>6.9444444444444753E-3</v>
      </c>
      <c r="D35" s="140" t="s">
        <v>103</v>
      </c>
    </row>
    <row r="36" spans="2:4" x14ac:dyDescent="0.25">
      <c r="B36" s="139" t="str">
        <f>Base!I36</f>
        <v>310 implémenter la recherche par cépage</v>
      </c>
      <c r="C36" s="135">
        <f>SUMIF(Journal!$D$4:$D$165,B36,Journal!$G$4:$G$165)</f>
        <v>6.9444444444444198E-3</v>
      </c>
      <c r="D36" s="140" t="s">
        <v>103</v>
      </c>
    </row>
    <row r="37" spans="2:4" x14ac:dyDescent="0.25">
      <c r="B37" s="139" t="str">
        <f>Base!I37</f>
        <v>311 implémenter la recherche par producteur</v>
      </c>
      <c r="C37" s="135">
        <f>SUMIF(Journal!$D$4:$D$165,B37,Journal!$G$4:$G$165)</f>
        <v>6.9444444444444198E-3</v>
      </c>
      <c r="D37" s="140" t="s">
        <v>103</v>
      </c>
    </row>
    <row r="38" spans="2:4" x14ac:dyDescent="0.25">
      <c r="B38" s="139" t="str">
        <f>Base!I38</f>
        <v>312 implémenter la recherche par pays</v>
      </c>
      <c r="C38" s="135">
        <f>SUMIF(Journal!$D$4:$D$165,B38,Journal!$G$4:$G$165)</f>
        <v>3.4722222222222654E-3</v>
      </c>
      <c r="D38" s="140" t="s">
        <v>103</v>
      </c>
    </row>
    <row r="39" spans="2:4" x14ac:dyDescent="0.25">
      <c r="B39" s="139" t="str">
        <f>Base!I39</f>
        <v>313 implémenter l'export d'une liste triée par PDF</v>
      </c>
      <c r="C39" s="135">
        <f>SUMIF(Journal!$D$4:$D$165,B39,Journal!$G$4:$G$165)</f>
        <v>0.11805555555555564</v>
      </c>
      <c r="D39" s="140" t="s">
        <v>103</v>
      </c>
    </row>
    <row r="40" spans="2:4" x14ac:dyDescent="0.25">
      <c r="B40" s="139" t="str">
        <f>Base!I40</f>
        <v>314 implémenter l'ajout de casiers</v>
      </c>
      <c r="C40" s="135">
        <f>SUMIF(Journal!$D$4:$D$165,B40,Journal!$G$4:$G$165)</f>
        <v>2.4305555555555469E-2</v>
      </c>
      <c r="D40" s="140" t="s">
        <v>103</v>
      </c>
    </row>
    <row r="41" spans="2:4" x14ac:dyDescent="0.25">
      <c r="B41" s="139" t="str">
        <f>Base!I41</f>
        <v>315 implémenter le retrait de casiers</v>
      </c>
      <c r="C41" s="135">
        <f>SUMIF(Journal!$D$4:$D$165,B41,Journal!$G$4:$G$165)</f>
        <v>5.2083333333333259E-2</v>
      </c>
      <c r="D41" s="140" t="s">
        <v>103</v>
      </c>
    </row>
    <row r="42" spans="2:4" x14ac:dyDescent="0.25">
      <c r="B42" s="139" t="str">
        <f>Base!I42</f>
        <v>316 implémenter une alerte sur éléments spécifiques</v>
      </c>
      <c r="C42" s="135">
        <f>SUMIF(Journal!$D$4:$D$165,B42,Journal!$G$4:$G$165)</f>
        <v>0.14583333333333354</v>
      </c>
      <c r="D42" s="140" t="s">
        <v>103</v>
      </c>
    </row>
    <row r="43" spans="2:4" x14ac:dyDescent="0.25">
      <c r="B43" s="139" t="str">
        <f>Base!I43</f>
        <v>317 implémenter l'impression d'une liste triée</v>
      </c>
      <c r="C43" s="135">
        <f>SUMIF(Journal!$D$4:$D$165,B43,Journal!$G$4:$G$165)</f>
        <v>1.7361111111111105E-2</v>
      </c>
      <c r="D43" s="140" t="s">
        <v>103</v>
      </c>
    </row>
    <row r="44" spans="2:4" x14ac:dyDescent="0.25">
      <c r="B44" s="139" t="str">
        <f>Base!I44</f>
        <v>318 mettre en place la classe "alerte"</v>
      </c>
      <c r="C44" s="135">
        <f>SUMIF(Journal!$D$4:$D$165,B44,Journal!$G$4:$G$165)</f>
        <v>2.430555555555558E-2</v>
      </c>
      <c r="D44" s="140" t="s">
        <v>103</v>
      </c>
    </row>
    <row r="45" spans="2:4" x14ac:dyDescent="0.25">
      <c r="B45" s="139" t="str">
        <f>Base!I45</f>
        <v>319 mettre en place la classe "logs"</v>
      </c>
      <c r="C45" s="135">
        <f>SUMIF(Journal!$D$4:$D$165,B45,Journal!$G$4:$G$165)</f>
        <v>1.7361111111111105E-2</v>
      </c>
      <c r="D45" s="140" t="s">
        <v>103</v>
      </c>
    </row>
    <row r="46" spans="2:4" x14ac:dyDescent="0.25">
      <c r="B46" s="139" t="str">
        <f>Base!I46</f>
        <v>320 génération des requêtes d'affichage de données</v>
      </c>
      <c r="C46" s="135">
        <f>SUMIF(Journal!$D$4:$D$165,B46,Journal!$G$4:$G$165)</f>
        <v>0.32291666666666657</v>
      </c>
      <c r="D46" s="140" t="s">
        <v>103</v>
      </c>
    </row>
    <row r="47" spans="2:4" x14ac:dyDescent="0.25">
      <c r="B47" s="139" t="str">
        <f>Base!I47</f>
        <v xml:space="preserve">321 - </v>
      </c>
      <c r="C47" s="135">
        <f>SUMIF(Journal!$D$4:$D$165,B47,Journal!$G$4:$G$165)</f>
        <v>0</v>
      </c>
      <c r="D47" s="140"/>
    </row>
    <row r="48" spans="2:4" x14ac:dyDescent="0.25">
      <c r="B48" s="139" t="str">
        <f>Base!I48</f>
        <v xml:space="preserve">322 - </v>
      </c>
      <c r="C48" s="135">
        <f>SUMIF(Journal!$D$4:$D$165,B48,Journal!$G$4:$G$165)</f>
        <v>0</v>
      </c>
      <c r="D48" s="140"/>
    </row>
    <row r="49" spans="2:4" x14ac:dyDescent="0.25">
      <c r="B49" s="139" t="str">
        <f>Base!I49</f>
        <v>401 mise en forme du rapport de projet</v>
      </c>
      <c r="C49" s="135">
        <f>SUMIF(Journal!$D$4:$D$165,B49,Journal!$G$4:$G$165)</f>
        <v>0.57291666666666641</v>
      </c>
      <c r="D49" s="140" t="s">
        <v>99</v>
      </c>
    </row>
    <row r="50" spans="2:4" x14ac:dyDescent="0.25">
      <c r="B50" s="139" t="str">
        <f>Base!I50</f>
        <v>402 journal de travail</v>
      </c>
      <c r="C50" s="135">
        <f>SUMIF(Journal!$D$4:$D$165,B50,Journal!$G$4:$G$165)</f>
        <v>3.1249999999999944E-2</v>
      </c>
      <c r="D50" s="140" t="s">
        <v>99</v>
      </c>
    </row>
    <row r="51" spans="2:4" x14ac:dyDescent="0.25">
      <c r="B51" s="139" t="str">
        <f>Base!I51</f>
        <v>403 procédure d'installation</v>
      </c>
      <c r="C51" s="135">
        <f>SUMIF(Journal!$D$4:$D$165,B51,Journal!$G$4:$G$165)</f>
        <v>7.6388888888888784E-2</v>
      </c>
      <c r="D51" s="140" t="s">
        <v>99</v>
      </c>
    </row>
    <row r="52" spans="2:4" x14ac:dyDescent="0.25">
      <c r="B52" s="139" t="str">
        <f>Base!I52</f>
        <v>404 stratégie de test</v>
      </c>
      <c r="C52" s="135">
        <f>SUMIF(Journal!$D$4:$D$165,B52,Journal!$G$4:$G$165)</f>
        <v>0</v>
      </c>
      <c r="D52" s="140" t="s">
        <v>103</v>
      </c>
    </row>
    <row r="53" spans="2:4" x14ac:dyDescent="0.25">
      <c r="B53" s="139" t="str">
        <f>Base!I53</f>
        <v>405 mise en place du GitHub</v>
      </c>
      <c r="C53" s="135">
        <f>SUMIF(Journal!$D$4:$D$165,B53,Journal!$G$4:$G$165)</f>
        <v>2.4305555555555636E-2</v>
      </c>
      <c r="D53" s="140" t="s">
        <v>103</v>
      </c>
    </row>
    <row r="54" spans="2:4" x14ac:dyDescent="0.25">
      <c r="B54" s="139" t="str">
        <f>Base!I54</f>
        <v>406 envoi de l'avancée au CdP et aux experts</v>
      </c>
      <c r="C54" s="135">
        <f>SUMIF(Journal!$D$4:$D$165,B54,Journal!$G$4:$G$165)</f>
        <v>3.4722222222222432E-2</v>
      </c>
      <c r="D54" s="140"/>
    </row>
    <row r="55" spans="2:4" x14ac:dyDescent="0.25">
      <c r="B55" s="139" t="str">
        <f>Base!I55</f>
        <v>501 réalisation des tests unitaires</v>
      </c>
      <c r="C55" s="135">
        <f>SUMIF(Journal!$D$4:$D$165,B55,Journal!$G$4:$G$165)</f>
        <v>0.18749999999999989</v>
      </c>
      <c r="D55" s="140" t="s">
        <v>103</v>
      </c>
    </row>
    <row r="56" spans="2:4" x14ac:dyDescent="0.25">
      <c r="B56" s="139" t="str">
        <f>Base!I56</f>
        <v>502 réalisation des tests d'intégration</v>
      </c>
      <c r="C56" s="135">
        <f>SUMIF(Journal!$D$4:$D$165,B56,Journal!$G$4:$G$165)</f>
        <v>0</v>
      </c>
      <c r="D56" s="140"/>
    </row>
    <row r="57" spans="2:4" x14ac:dyDescent="0.25">
      <c r="B57" s="139" t="str">
        <f>Base!I57</f>
        <v>503 réalisation des tests fonctionnels</v>
      </c>
      <c r="C57" s="135">
        <f>SUMIF(Journal!$D$4:$D$165,B57,Journal!$G$4:$G$165)</f>
        <v>1.3888888888888895E-2</v>
      </c>
      <c r="D57" s="140" t="s">
        <v>103</v>
      </c>
    </row>
    <row r="58" spans="2:4" x14ac:dyDescent="0.25">
      <c r="B58" s="139" t="str">
        <f>Base!I58</f>
        <v>504 mise en forme des résultats des tests</v>
      </c>
      <c r="C58" s="135">
        <f>SUMIF(Journal!$D$4:$D$165,B58,Journal!$G$4:$G$165)</f>
        <v>5.5555555555555525E-2</v>
      </c>
      <c r="D58" s="140" t="s">
        <v>103</v>
      </c>
    </row>
    <row r="59" spans="2:4" x14ac:dyDescent="0.25">
      <c r="B59" s="139" t="str">
        <f>Base!I59</f>
        <v>505 -</v>
      </c>
      <c r="C59" s="135">
        <f>SUMIF(Journal!$D$4:$D$165,B59,Journal!$G$4:$G$165)</f>
        <v>0</v>
      </c>
      <c r="D59" s="140"/>
    </row>
    <row r="60" spans="2:4" x14ac:dyDescent="0.25">
      <c r="B60" s="139" t="str">
        <f>Base!I60</f>
        <v>506 -</v>
      </c>
      <c r="C60" s="135">
        <f>SUMIF(Journal!$D$4:$D$165,B60,Journal!$G$4:$G$165)</f>
        <v>0</v>
      </c>
      <c r="D60" s="140"/>
    </row>
    <row r="61" spans="2:4" x14ac:dyDescent="0.25">
      <c r="B61" s="139" t="str">
        <f>Base!I61</f>
        <v>601 réunion avec monsieur C.Egger, CdP</v>
      </c>
      <c r="C61" s="135">
        <f>SUMIF(Journal!$D$4:$D$165,B61,Journal!$G$4:$G$165)</f>
        <v>2.430555555555558E-2</v>
      </c>
      <c r="D61" s="140"/>
    </row>
    <row r="62" spans="2:4" x14ac:dyDescent="0.25">
      <c r="B62" s="139" t="str">
        <f>Base!I62</f>
        <v>602 réunion avec monsieur G.Gruaz, expert 1</v>
      </c>
      <c r="C62" s="135">
        <f>SUMIF(Journal!$D$4:$D$165,B62,Journal!$G$4:$G$165)</f>
        <v>1.736111111111116E-2</v>
      </c>
      <c r="D62" s="140"/>
    </row>
    <row r="63" spans="2:4" x14ac:dyDescent="0.25">
      <c r="B63" s="139" t="str">
        <f>Base!I63</f>
        <v>603 réunion avec monsieur O.Rutz, expert 2</v>
      </c>
      <c r="C63" s="135">
        <f>SUMIF(Journal!$D$4:$D$165,B63,Journal!$G$4:$G$165)</f>
        <v>1.388888888888884E-2</v>
      </c>
      <c r="D63" s="140"/>
    </row>
    <row r="64" spans="2:4" x14ac:dyDescent="0.25">
      <c r="B64" s="139" t="str">
        <f>Base!I64</f>
        <v>604 réunion avec une personne extérieure</v>
      </c>
      <c r="C64" s="135">
        <f>SUMIF(Journal!$D$4:$D$165,B64,Journal!$G$4:$G$165)</f>
        <v>7.6388888888888895E-2</v>
      </c>
      <c r="D64" s="140"/>
    </row>
    <row r="65" spans="2:4" x14ac:dyDescent="0.25">
      <c r="B65" s="139" t="str">
        <f>Base!I65</f>
        <v>605 -</v>
      </c>
      <c r="C65" s="135">
        <f>SUMIF(Journal!$D$4:$D$165,B65,Journal!$G$4:$G$165)</f>
        <v>0</v>
      </c>
      <c r="D65" s="140"/>
    </row>
    <row r="66" spans="2:4" ht="15.75" thickBot="1" x14ac:dyDescent="0.3">
      <c r="B66" s="141" t="str">
        <f>Base!I66</f>
        <v>606 -</v>
      </c>
      <c r="C66" s="136">
        <f>SUMIF(Journal!$D$4:$D$165,B66,Journal!$G$4:$G$165)</f>
        <v>0</v>
      </c>
      <c r="D66" s="142"/>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Base</vt:lpstr>
      <vt:lpstr>Planif initiale</vt:lpstr>
      <vt:lpstr>Planif déf</vt:lpstr>
      <vt:lpstr>Planif finale</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2021-05-31T12:37:46Z</cp:lastPrinted>
  <dcterms:created xsi:type="dcterms:W3CDTF">2015-01-22T08:10:30Z</dcterms:created>
  <dcterms:modified xsi:type="dcterms:W3CDTF">2021-05-31T14:54:11Z</dcterms:modified>
</cp:coreProperties>
</file>