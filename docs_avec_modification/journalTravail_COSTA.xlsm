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2"/>
  </bookViews>
  <sheets>
    <sheet name="Base" sheetId="7" r:id="rId1"/>
    <sheet name="Planif initiale" sheetId="8" r:id="rId2"/>
    <sheet name="Journal" sheetId="6" r:id="rId3"/>
    <sheet name="Avancée" sheetId="10" r:id="rId4"/>
  </sheets>
  <definedNames>
    <definedName name="listeTache" localSheetId="0">Base!$I$4:$I$25,Base!$I$26:$I$48,Base!$I$49:$I$66</definedName>
  </definedNames>
  <calcPr calcId="162913"/>
</workbook>
</file>

<file path=xl/calcChain.xml><?xml version="1.0" encoding="utf-8"?>
<calcChain xmlns="http://schemas.openxmlformats.org/spreadsheetml/2006/main">
  <c r="D1" i="10" l="1"/>
  <c r="B1" i="8"/>
  <c r="C5" i="10" l="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4" i="6"/>
  <c r="B63" i="10" l="1"/>
  <c r="C63" i="10" s="1"/>
  <c r="B64" i="10"/>
  <c r="C64" i="10" s="1"/>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C14" i="10" s="1"/>
  <c r="B15" i="10"/>
  <c r="B16" i="10"/>
  <c r="C16" i="10" s="1"/>
  <c r="B17" i="10"/>
  <c r="C17" i="10" s="1"/>
  <c r="B18" i="10"/>
  <c r="B19" i="10"/>
  <c r="B20" i="10"/>
  <c r="B21" i="10"/>
  <c r="B22" i="10"/>
  <c r="C22" i="10" s="1"/>
  <c r="B23" i="10"/>
  <c r="C23" i="10" s="1"/>
  <c r="B24" i="10"/>
  <c r="C24" i="10" s="1"/>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C61" i="10" s="1"/>
  <c r="G6" i="6"/>
  <c r="C7" i="10" s="1"/>
  <c r="G8" i="6"/>
  <c r="C4" i="10" s="1"/>
  <c r="G9" i="6"/>
  <c r="C53" i="10" s="1"/>
  <c r="G10" i="6"/>
  <c r="G11" i="6"/>
  <c r="G12" i="6"/>
  <c r="C6" i="10" s="1"/>
  <c r="G13" i="6"/>
  <c r="G14" i="6"/>
  <c r="G15" i="6"/>
  <c r="G16" i="6"/>
  <c r="G17" i="6"/>
  <c r="G18" i="6"/>
  <c r="G19" i="6"/>
  <c r="C11" i="10" s="1"/>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G48" i="6"/>
  <c r="G49" i="6"/>
  <c r="G50" i="6"/>
  <c r="G51" i="6"/>
  <c r="G52" i="6"/>
  <c r="G4" i="6"/>
  <c r="C62" i="10" s="1"/>
  <c r="C15" i="10" l="1"/>
  <c r="C49" i="10"/>
  <c r="C13" i="10"/>
  <c r="C19" i="10"/>
  <c r="C50" i="10"/>
  <c r="C10" i="10"/>
  <c r="G54" i="6"/>
  <c r="C3" i="8"/>
  <c r="C4" i="8" s="1"/>
  <c r="H61" i="7"/>
  <c r="B72" i="8" s="1"/>
  <c r="H55" i="7"/>
  <c r="H49" i="7"/>
  <c r="H26" i="7"/>
  <c r="H10" i="7"/>
  <c r="H4" i="7"/>
  <c r="G58" i="6" l="1"/>
  <c r="G57" i="6"/>
  <c r="G56" i="6"/>
  <c r="G55" i="6"/>
  <c r="G5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<sst xmlns="http://schemas.openxmlformats.org/spreadsheetml/2006/main" count="201" uniqueCount="150">
  <si>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</si>
  <si>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</si>
  <si>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</si>
  <si>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</si>
  <si>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</si>
  <si>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</si>
  <si>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</si>
  <si>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</si>
  <si>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</si>
  <si>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</si>
  <si>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</si>
  <si>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</si>
  <si>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</si>
  <si>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</si>
  <si>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</si>
  <si>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</si>
  <si>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</si>
  <si>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</si>
  <si>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</si>
  <si>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</si>
  <si>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</si>
  <si>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318 - </t>
  </si>
  <si>
    <t xml:space="preserve">319 - </t>
  </si>
  <si>
    <t xml:space="preserve">320 - </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</si>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</sst>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4">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1" fillId="0" borderId="3" xfId="0" applyFont="1" applyBorder="1" applyAlignment="1">
      <alignment horizontal="left" vertical="top"/>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0" fillId="0" borderId="10" xfId="0" applyBorder="1" applyAlignment="1" applyProtection="1">
      <alignment horizontal="left" vertical="top" wrapText="1"/>
      <protection locked="0"/>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14" fontId="0" fillId="0" borderId="0" xfId="0" applyNumberFormat="1" applyAlignment="1">
      <alignment horizontal="left" vertical="top" wrapText="1"/>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55" zoomScale="145" zoomScaleNormal="145" workbookViewId="0">
      <selection activeCell="L22" sqref="L22"/>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41" t="s">
        <v>26</v>
      </c>
      <c r="D3" s="141"/>
      <c r="E3" s="11"/>
      <c r="F3" s="10"/>
      <c r="G3" s="204" t="s">
        <v>11</v>
      </c>
      <c r="H3" s="204"/>
      <c r="I3" s="10" t="s">
        <v>5</v>
      </c>
      <c r="J3" s="10"/>
    </row>
    <row r="4" spans="1:10" x14ac:dyDescent="0.25">
      <c r="A4" s="8"/>
      <c r="B4" s="8"/>
      <c r="C4" s="8"/>
      <c r="D4" s="8"/>
      <c r="E4" s="8"/>
      <c r="F4" s="8"/>
      <c r="G4" s="85">
        <v>1</v>
      </c>
      <c r="H4" s="133" t="str">
        <f>D11</f>
        <v>Analyse</v>
      </c>
      <c r="I4" s="154" t="s">
        <v>56</v>
      </c>
      <c r="J4" s="89"/>
    </row>
    <row r="5" spans="1:10" ht="18.75" x14ac:dyDescent="0.3">
      <c r="A5" s="8"/>
      <c r="B5" s="10" t="s">
        <v>43</v>
      </c>
      <c r="C5" s="10" t="s">
        <v>2</v>
      </c>
      <c r="D5" s="10" t="s">
        <v>3</v>
      </c>
      <c r="E5" s="8"/>
      <c r="F5" s="8"/>
      <c r="G5" s="71"/>
      <c r="H5" s="86"/>
      <c r="I5" s="155" t="s">
        <v>82</v>
      </c>
      <c r="J5" s="89"/>
    </row>
    <row r="6" spans="1:10" x14ac:dyDescent="0.25">
      <c r="A6" s="8"/>
      <c r="B6" s="5">
        <v>44319</v>
      </c>
      <c r="C6" s="6" t="s">
        <v>6</v>
      </c>
      <c r="D6" s="7" t="s">
        <v>7</v>
      </c>
      <c r="E6" s="8"/>
      <c r="F6" s="8"/>
      <c r="G6" s="71"/>
      <c r="H6" s="86"/>
      <c r="I6" s="155" t="s">
        <v>101</v>
      </c>
      <c r="J6" s="89"/>
    </row>
    <row r="7" spans="1:10" ht="18.75" x14ac:dyDescent="0.3">
      <c r="A7" s="8"/>
      <c r="B7" s="10" t="s">
        <v>42</v>
      </c>
      <c r="C7" s="74"/>
      <c r="D7" s="10" t="s">
        <v>30</v>
      </c>
      <c r="E7" s="8"/>
      <c r="F7" s="8"/>
      <c r="G7" s="71"/>
      <c r="H7" s="86"/>
      <c r="I7" s="155" t="s">
        <v>100</v>
      </c>
      <c r="J7" s="89"/>
    </row>
    <row r="8" spans="1:10" x14ac:dyDescent="0.25">
      <c r="A8" s="8"/>
      <c r="B8" s="5">
        <v>44350</v>
      </c>
      <c r="C8" s="74"/>
      <c r="D8" s="136" t="s">
        <v>44</v>
      </c>
      <c r="E8" s="8"/>
      <c r="F8" s="8"/>
      <c r="G8" s="71"/>
      <c r="H8" s="86"/>
      <c r="I8" s="155" t="s">
        <v>102</v>
      </c>
      <c r="J8" s="89"/>
    </row>
    <row r="9" spans="1:10" x14ac:dyDescent="0.25">
      <c r="A9" s="8"/>
      <c r="B9" s="8"/>
      <c r="C9" s="8"/>
      <c r="D9" s="8"/>
      <c r="E9" s="8"/>
      <c r="F9" s="8"/>
      <c r="G9" s="71"/>
      <c r="H9" s="86"/>
      <c r="I9" s="156" t="s">
        <v>80</v>
      </c>
      <c r="J9" s="89"/>
    </row>
    <row r="10" spans="1:10" ht="18.75" x14ac:dyDescent="0.3">
      <c r="A10" s="8"/>
      <c r="B10" s="8"/>
      <c r="C10" s="205" t="s">
        <v>16</v>
      </c>
      <c r="D10" s="205"/>
      <c r="E10" s="8"/>
      <c r="F10" s="8"/>
      <c r="G10" s="85">
        <v>2</v>
      </c>
      <c r="H10" s="133" t="str">
        <f>D12</f>
        <v>Conception</v>
      </c>
      <c r="I10" s="82" t="s">
        <v>57</v>
      </c>
      <c r="J10" s="89"/>
    </row>
    <row r="11" spans="1:10" x14ac:dyDescent="0.25">
      <c r="A11" s="8"/>
      <c r="B11" s="8"/>
      <c r="C11" s="135">
        <v>1</v>
      </c>
      <c r="D11" s="75" t="s">
        <v>17</v>
      </c>
      <c r="E11" s="8"/>
      <c r="F11" s="8"/>
      <c r="G11" s="71"/>
      <c r="H11" s="87"/>
      <c r="I11" s="81" t="s">
        <v>59</v>
      </c>
      <c r="J11" s="89"/>
    </row>
    <row r="12" spans="1:10" x14ac:dyDescent="0.25">
      <c r="A12" s="8"/>
      <c r="B12" s="8"/>
      <c r="C12" s="135">
        <v>2</v>
      </c>
      <c r="D12" s="75" t="s">
        <v>18</v>
      </c>
      <c r="E12" s="8"/>
      <c r="F12" s="8"/>
      <c r="G12" s="71"/>
      <c r="H12" s="87"/>
      <c r="I12" s="81" t="s">
        <v>58</v>
      </c>
      <c r="J12" s="89"/>
    </row>
    <row r="13" spans="1:10" x14ac:dyDescent="0.25">
      <c r="A13" s="8"/>
      <c r="B13" s="8"/>
      <c r="C13" s="77">
        <v>3</v>
      </c>
      <c r="D13" s="76" t="s">
        <v>19</v>
      </c>
      <c r="E13" s="8"/>
      <c r="F13" s="8"/>
      <c r="G13" s="71"/>
      <c r="H13" s="87"/>
      <c r="I13" s="81" t="s">
        <v>60</v>
      </c>
      <c r="J13" s="89"/>
    </row>
    <row r="14" spans="1:10" x14ac:dyDescent="0.25">
      <c r="A14" s="8"/>
      <c r="B14" s="8"/>
      <c r="C14" s="77">
        <v>4</v>
      </c>
      <c r="D14" s="76" t="s">
        <v>20</v>
      </c>
      <c r="E14" s="8"/>
      <c r="F14" s="8"/>
      <c r="G14" s="71"/>
      <c r="H14" s="87"/>
      <c r="I14" s="81" t="s">
        <v>61</v>
      </c>
      <c r="J14" s="89"/>
    </row>
    <row r="15" spans="1:10" x14ac:dyDescent="0.25">
      <c r="A15" s="8"/>
      <c r="B15" s="8"/>
      <c r="C15" s="77">
        <v>5</v>
      </c>
      <c r="D15" s="76" t="s">
        <v>46</v>
      </c>
      <c r="E15" s="8"/>
      <c r="F15" s="8"/>
      <c r="G15" s="71"/>
      <c r="H15" s="87"/>
      <c r="I15" s="81" t="s">
        <v>62</v>
      </c>
      <c r="J15" s="89"/>
    </row>
    <row r="16" spans="1:10" x14ac:dyDescent="0.25">
      <c r="A16" s="8"/>
      <c r="B16" s="8"/>
      <c r="C16" s="77">
        <v>6</v>
      </c>
      <c r="D16" s="76" t="s">
        <v>39</v>
      </c>
      <c r="E16" s="8"/>
      <c r="F16" s="8"/>
      <c r="G16" s="71"/>
      <c r="H16" s="87"/>
      <c r="I16" s="81" t="s">
        <v>63</v>
      </c>
      <c r="J16" s="74"/>
    </row>
    <row r="17" spans="1:10" x14ac:dyDescent="0.25">
      <c r="A17" s="8"/>
      <c r="B17" s="116"/>
      <c r="C17" s="116"/>
      <c r="D17" s="8"/>
      <c r="E17" s="8"/>
      <c r="F17" s="8"/>
      <c r="G17" s="71"/>
      <c r="H17" s="86"/>
      <c r="I17" s="81" t="s">
        <v>64</v>
      </c>
      <c r="J17" s="74"/>
    </row>
    <row r="18" spans="1:10" ht="15.75" x14ac:dyDescent="0.25">
      <c r="A18" s="8"/>
      <c r="B18" s="206" t="s">
        <v>38</v>
      </c>
      <c r="C18" s="206"/>
      <c r="D18" s="120"/>
      <c r="E18" s="110"/>
      <c r="F18" s="8"/>
      <c r="G18" s="71"/>
      <c r="H18" s="84"/>
      <c r="I18" s="3" t="s">
        <v>65</v>
      </c>
      <c r="J18" s="74"/>
    </row>
    <row r="19" spans="1:10" x14ac:dyDescent="0.25">
      <c r="A19" s="8"/>
      <c r="B19" s="121" t="s">
        <v>34</v>
      </c>
      <c r="C19" s="104" t="s">
        <v>32</v>
      </c>
      <c r="D19" s="118"/>
      <c r="E19" s="119"/>
      <c r="F19" s="8"/>
      <c r="G19" s="71"/>
      <c r="H19" s="86"/>
      <c r="I19" s="81" t="s">
        <v>74</v>
      </c>
      <c r="J19" s="74"/>
    </row>
    <row r="20" spans="1:10" x14ac:dyDescent="0.25">
      <c r="A20" s="8"/>
      <c r="B20" s="121" t="s">
        <v>33</v>
      </c>
      <c r="C20" s="122" t="s">
        <v>98</v>
      </c>
      <c r="D20" s="118"/>
      <c r="E20" s="78"/>
      <c r="F20" s="8"/>
      <c r="G20" s="71"/>
      <c r="H20" s="86"/>
      <c r="I20" s="81" t="s">
        <v>81</v>
      </c>
      <c r="J20" s="74"/>
    </row>
    <row r="21" spans="1:10" x14ac:dyDescent="0.25">
      <c r="A21" s="8"/>
      <c r="B21" s="121" t="s">
        <v>35</v>
      </c>
      <c r="C21" s="122" t="s">
        <v>99</v>
      </c>
      <c r="D21" s="118"/>
      <c r="E21" s="78"/>
      <c r="F21" s="8"/>
      <c r="G21" s="71"/>
      <c r="H21" s="87"/>
      <c r="I21" s="81" t="s">
        <v>144</v>
      </c>
      <c r="J21" s="74"/>
    </row>
    <row r="22" spans="1:10" x14ac:dyDescent="0.25">
      <c r="A22" s="8"/>
      <c r="B22" s="121" t="s">
        <v>36</v>
      </c>
      <c r="C22" s="104"/>
      <c r="D22" s="110"/>
      <c r="E22" s="117"/>
      <c r="F22" s="8"/>
      <c r="G22" s="71"/>
      <c r="H22" s="87"/>
      <c r="I22" s="81" t="s">
        <v>103</v>
      </c>
      <c r="J22" s="74"/>
    </row>
    <row r="23" spans="1:10" ht="15.75" x14ac:dyDescent="0.25">
      <c r="A23" s="8"/>
      <c r="B23" s="121" t="s">
        <v>37</v>
      </c>
      <c r="C23" s="142"/>
      <c r="D23" s="110"/>
      <c r="E23" s="8"/>
      <c r="F23" s="8"/>
      <c r="G23" s="71"/>
      <c r="H23" s="87"/>
      <c r="I23" s="81" t="s">
        <v>114</v>
      </c>
      <c r="J23" s="74"/>
    </row>
    <row r="24" spans="1:10" x14ac:dyDescent="0.25">
      <c r="A24" s="8"/>
      <c r="B24" s="8"/>
      <c r="C24" s="123"/>
      <c r="D24" s="110"/>
      <c r="E24" s="8"/>
      <c r="F24" s="8"/>
      <c r="G24" s="71"/>
      <c r="H24" s="87"/>
      <c r="I24" s="81" t="s">
        <v>148</v>
      </c>
      <c r="J24" s="74"/>
    </row>
    <row r="25" spans="1:10" x14ac:dyDescent="0.25">
      <c r="A25" s="8"/>
      <c r="B25" s="8"/>
      <c r="C25" s="122"/>
      <c r="D25" s="8"/>
      <c r="E25" s="8"/>
      <c r="F25" s="8"/>
      <c r="G25" s="72"/>
      <c r="H25" s="88"/>
      <c r="I25" s="83" t="s">
        <v>27</v>
      </c>
      <c r="J25" s="74"/>
    </row>
    <row r="26" spans="1:10" x14ac:dyDescent="0.25">
      <c r="A26" s="8"/>
      <c r="B26" s="121"/>
      <c r="C26" s="122"/>
      <c r="D26" s="8"/>
      <c r="E26" s="8"/>
      <c r="F26" s="8"/>
      <c r="G26" s="85">
        <v>3</v>
      </c>
      <c r="H26" s="133" t="str">
        <f>D13</f>
        <v>Implémentation</v>
      </c>
      <c r="I26" s="82" t="s">
        <v>77</v>
      </c>
      <c r="J26" s="8"/>
    </row>
    <row r="27" spans="1:10" x14ac:dyDescent="0.25">
      <c r="A27" s="8"/>
      <c r="B27" s="8"/>
      <c r="C27" s="8"/>
      <c r="D27" s="8"/>
      <c r="E27" s="8"/>
      <c r="F27" s="8"/>
      <c r="G27" s="71"/>
      <c r="H27" s="87"/>
      <c r="I27" s="80" t="s">
        <v>78</v>
      </c>
      <c r="J27" s="8"/>
    </row>
    <row r="28" spans="1:10" x14ac:dyDescent="0.25">
      <c r="A28" s="8"/>
      <c r="B28" s="8"/>
      <c r="C28" s="8"/>
      <c r="D28" s="8"/>
      <c r="E28" s="8"/>
      <c r="F28" s="8"/>
      <c r="G28" s="71"/>
      <c r="H28" s="87"/>
      <c r="I28" s="81" t="s">
        <v>83</v>
      </c>
      <c r="J28" s="8"/>
    </row>
    <row r="29" spans="1:10" x14ac:dyDescent="0.25">
      <c r="A29" s="8"/>
      <c r="B29" s="8"/>
      <c r="C29" s="8"/>
      <c r="D29" s="8"/>
      <c r="E29" s="8"/>
      <c r="F29" s="8"/>
      <c r="G29" s="71"/>
      <c r="H29" s="87"/>
      <c r="I29" s="80" t="s">
        <v>84</v>
      </c>
      <c r="J29" s="8"/>
    </row>
    <row r="30" spans="1:10" x14ac:dyDescent="0.25">
      <c r="A30" s="8"/>
      <c r="B30" s="8"/>
      <c r="C30" s="8"/>
      <c r="D30" s="8"/>
      <c r="E30" s="8"/>
      <c r="F30" s="8"/>
      <c r="G30" s="71"/>
      <c r="H30" s="87"/>
      <c r="I30" s="81" t="s">
        <v>85</v>
      </c>
      <c r="J30" s="8"/>
    </row>
    <row r="31" spans="1:10" x14ac:dyDescent="0.25">
      <c r="A31" s="8"/>
      <c r="B31" s="8"/>
      <c r="C31" s="8"/>
      <c r="D31" s="8"/>
      <c r="E31" s="8"/>
      <c r="F31" s="8"/>
      <c r="G31" s="71"/>
      <c r="H31" s="87"/>
      <c r="I31" s="80" t="s">
        <v>86</v>
      </c>
      <c r="J31" s="8"/>
    </row>
    <row r="32" spans="1:10" x14ac:dyDescent="0.25">
      <c r="A32" s="8"/>
      <c r="B32" s="8"/>
      <c r="C32" s="8"/>
      <c r="D32" s="8"/>
      <c r="E32" s="8"/>
      <c r="F32" s="8"/>
      <c r="G32" s="71"/>
      <c r="H32" s="87"/>
      <c r="I32" s="81" t="s">
        <v>87</v>
      </c>
      <c r="J32" s="8"/>
    </row>
    <row r="33" spans="1:10" x14ac:dyDescent="0.25">
      <c r="A33" s="8"/>
      <c r="B33" s="8"/>
      <c r="C33" s="8"/>
      <c r="D33" s="8"/>
      <c r="E33" s="8"/>
      <c r="F33" s="8"/>
      <c r="G33" s="71"/>
      <c r="H33" s="87"/>
      <c r="I33" s="80" t="s">
        <v>88</v>
      </c>
      <c r="J33" s="8"/>
    </row>
    <row r="34" spans="1:10" x14ac:dyDescent="0.25">
      <c r="A34" s="8"/>
      <c r="B34" s="8"/>
      <c r="C34" s="8"/>
      <c r="D34" s="8"/>
      <c r="E34" s="8"/>
      <c r="F34" s="8"/>
      <c r="G34" s="71"/>
      <c r="H34" s="87"/>
      <c r="I34" s="81" t="s">
        <v>89</v>
      </c>
      <c r="J34" s="8"/>
    </row>
    <row r="35" spans="1:10" x14ac:dyDescent="0.25">
      <c r="A35" s="8"/>
      <c r="B35" s="8"/>
      <c r="C35" s="8"/>
      <c r="D35" s="8"/>
      <c r="E35" s="8"/>
      <c r="F35" s="8"/>
      <c r="G35" s="71"/>
      <c r="H35" s="87"/>
      <c r="I35" s="80" t="s">
        <v>90</v>
      </c>
      <c r="J35" s="8"/>
    </row>
    <row r="36" spans="1:10" x14ac:dyDescent="0.25">
      <c r="A36" s="8"/>
      <c r="B36" s="8"/>
      <c r="C36" s="8"/>
      <c r="D36" s="8"/>
      <c r="E36" s="8"/>
      <c r="F36" s="8"/>
      <c r="G36" s="71"/>
      <c r="H36" s="90"/>
      <c r="I36" s="81" t="s">
        <v>91</v>
      </c>
      <c r="J36" s="8"/>
    </row>
    <row r="37" spans="1:10" x14ac:dyDescent="0.25">
      <c r="A37" s="8"/>
      <c r="B37" s="8"/>
      <c r="C37" s="8"/>
      <c r="D37" s="8"/>
      <c r="E37" s="8"/>
      <c r="F37" s="8"/>
      <c r="G37" s="91"/>
      <c r="H37" s="92"/>
      <c r="I37" s="80" t="s">
        <v>139</v>
      </c>
      <c r="J37" s="8"/>
    </row>
    <row r="38" spans="1:10" x14ac:dyDescent="0.25">
      <c r="A38" s="8"/>
      <c r="B38" s="8"/>
      <c r="C38" s="8"/>
      <c r="D38" s="8"/>
      <c r="E38" s="8"/>
      <c r="F38" s="8"/>
      <c r="G38" s="91"/>
      <c r="H38" s="92"/>
      <c r="I38" s="81" t="s">
        <v>92</v>
      </c>
      <c r="J38" s="8"/>
    </row>
    <row r="39" spans="1:10" x14ac:dyDescent="0.25">
      <c r="A39" s="8"/>
      <c r="B39" s="8"/>
      <c r="C39" s="8"/>
      <c r="D39" s="8"/>
      <c r="E39" s="8"/>
      <c r="F39" s="8"/>
      <c r="G39" s="73"/>
      <c r="H39" s="93"/>
      <c r="I39" s="80" t="s">
        <v>93</v>
      </c>
      <c r="J39" s="8"/>
    </row>
    <row r="40" spans="1:10" x14ac:dyDescent="0.25">
      <c r="A40" s="8"/>
      <c r="B40" s="8"/>
      <c r="C40" s="8"/>
      <c r="D40" s="8"/>
      <c r="E40" s="8"/>
      <c r="F40" s="8"/>
      <c r="G40" s="73"/>
      <c r="H40" s="93"/>
      <c r="I40" s="81" t="s">
        <v>94</v>
      </c>
      <c r="J40" s="8"/>
    </row>
    <row r="41" spans="1:10" x14ac:dyDescent="0.25">
      <c r="A41" s="8"/>
      <c r="B41" s="8"/>
      <c r="C41" s="8"/>
      <c r="D41" s="8"/>
      <c r="E41" s="8"/>
      <c r="F41" s="8"/>
      <c r="G41" s="73"/>
      <c r="H41" s="93"/>
      <c r="I41" s="80" t="s">
        <v>95</v>
      </c>
      <c r="J41" s="8"/>
    </row>
    <row r="42" spans="1:10" x14ac:dyDescent="0.25">
      <c r="A42" s="8"/>
      <c r="B42" s="8"/>
      <c r="C42" s="8"/>
      <c r="D42" s="8"/>
      <c r="E42" s="8"/>
      <c r="F42" s="8"/>
      <c r="G42" s="73"/>
      <c r="H42" s="93"/>
      <c r="I42" s="81" t="s">
        <v>96</v>
      </c>
      <c r="J42" s="8"/>
    </row>
    <row r="43" spans="1:10" x14ac:dyDescent="0.25">
      <c r="A43" s="8"/>
      <c r="B43" s="8"/>
      <c r="C43" s="8"/>
      <c r="D43" s="8"/>
      <c r="E43" s="8"/>
      <c r="F43" s="8"/>
      <c r="G43" s="73"/>
      <c r="H43" s="93"/>
      <c r="I43" s="80" t="s">
        <v>97</v>
      </c>
      <c r="J43" s="8"/>
    </row>
    <row r="44" spans="1:10" x14ac:dyDescent="0.25">
      <c r="A44" s="8"/>
      <c r="B44" s="8"/>
      <c r="C44" s="8"/>
      <c r="D44" s="8"/>
      <c r="E44" s="8"/>
      <c r="F44" s="8"/>
      <c r="G44" s="73"/>
      <c r="H44" s="93"/>
      <c r="I44" s="81" t="s">
        <v>21</v>
      </c>
      <c r="J44" s="8"/>
    </row>
    <row r="45" spans="1:10" x14ac:dyDescent="0.25">
      <c r="A45" s="8"/>
      <c r="B45" s="8"/>
      <c r="C45" s="8"/>
      <c r="D45" s="8"/>
      <c r="E45" s="8"/>
      <c r="F45" s="8"/>
      <c r="G45" s="73"/>
      <c r="H45" s="93"/>
      <c r="I45" s="80" t="s">
        <v>22</v>
      </c>
      <c r="J45" s="8"/>
    </row>
    <row r="46" spans="1:10" x14ac:dyDescent="0.25">
      <c r="A46" s="8"/>
      <c r="B46" s="8"/>
      <c r="C46" s="8"/>
      <c r="D46" s="8"/>
      <c r="E46" s="8"/>
      <c r="F46" s="8"/>
      <c r="G46" s="73"/>
      <c r="H46" s="93"/>
      <c r="I46" s="81" t="s">
        <v>23</v>
      </c>
      <c r="J46" s="8"/>
    </row>
    <row r="47" spans="1:10" x14ac:dyDescent="0.25">
      <c r="A47" s="8"/>
      <c r="B47" s="8"/>
      <c r="C47" s="8"/>
      <c r="D47" s="8"/>
      <c r="E47" s="8"/>
      <c r="F47" s="8"/>
      <c r="G47" s="73"/>
      <c r="H47" s="93"/>
      <c r="I47" s="80" t="s">
        <v>24</v>
      </c>
      <c r="J47" s="8"/>
    </row>
    <row r="48" spans="1:10" x14ac:dyDescent="0.25">
      <c r="A48" s="8"/>
      <c r="B48" s="8"/>
      <c r="C48" s="8"/>
      <c r="D48" s="8"/>
      <c r="E48" s="8"/>
      <c r="F48" s="8"/>
      <c r="G48" s="94"/>
      <c r="H48" s="95"/>
      <c r="I48" s="83" t="s">
        <v>25</v>
      </c>
      <c r="J48" s="8"/>
    </row>
    <row r="49" spans="1:10" x14ac:dyDescent="0.25">
      <c r="A49" s="8"/>
      <c r="B49" s="8"/>
      <c r="C49" s="8"/>
      <c r="D49" s="8"/>
      <c r="E49" s="8"/>
      <c r="F49" s="8"/>
      <c r="G49" s="85">
        <v>4</v>
      </c>
      <c r="H49" s="133" t="str">
        <f>D14</f>
        <v>Documentation</v>
      </c>
      <c r="I49" s="2" t="s">
        <v>104</v>
      </c>
      <c r="J49" s="8"/>
    </row>
    <row r="50" spans="1:10" x14ac:dyDescent="0.25">
      <c r="A50" s="8"/>
      <c r="B50" s="8"/>
      <c r="C50" s="8"/>
      <c r="D50" s="8"/>
      <c r="E50" s="8"/>
      <c r="F50" s="8"/>
      <c r="G50" s="71"/>
      <c r="H50" s="87"/>
      <c r="I50" s="3" t="s">
        <v>53</v>
      </c>
      <c r="J50" s="8"/>
    </row>
    <row r="51" spans="1:10" x14ac:dyDescent="0.25">
      <c r="A51" s="8"/>
      <c r="B51" s="8"/>
      <c r="C51" s="8"/>
      <c r="D51" s="8"/>
      <c r="E51" s="8"/>
      <c r="F51" s="8"/>
      <c r="G51" s="71"/>
      <c r="H51" s="87"/>
      <c r="I51" s="3" t="s">
        <v>54</v>
      </c>
      <c r="J51" s="8"/>
    </row>
    <row r="52" spans="1:10" x14ac:dyDescent="0.25">
      <c r="A52" s="8"/>
      <c r="B52" s="8"/>
      <c r="C52" s="8"/>
      <c r="D52" s="8"/>
      <c r="E52" s="8"/>
      <c r="F52" s="8"/>
      <c r="G52" s="71"/>
      <c r="H52" s="87"/>
      <c r="I52" s="3" t="s">
        <v>137</v>
      </c>
      <c r="J52" s="8"/>
    </row>
    <row r="53" spans="1:10" x14ac:dyDescent="0.25">
      <c r="A53" s="8"/>
      <c r="B53" s="8"/>
      <c r="C53" s="8"/>
      <c r="D53" s="8"/>
      <c r="E53" s="8"/>
      <c r="F53" s="8"/>
      <c r="G53" s="71"/>
      <c r="H53" s="87"/>
      <c r="I53" s="3" t="s">
        <v>79</v>
      </c>
      <c r="J53" s="8"/>
    </row>
    <row r="54" spans="1:10" x14ac:dyDescent="0.25">
      <c r="A54" s="8"/>
      <c r="B54" s="8"/>
      <c r="C54" s="8"/>
      <c r="D54" s="8"/>
      <c r="E54" s="8"/>
      <c r="F54" s="8"/>
      <c r="G54" s="72"/>
      <c r="H54" s="88"/>
      <c r="I54" s="4" t="s">
        <v>106</v>
      </c>
      <c r="J54" s="8"/>
    </row>
    <row r="55" spans="1:10" x14ac:dyDescent="0.25">
      <c r="A55" s="8"/>
      <c r="B55" s="8"/>
      <c r="C55" s="8"/>
      <c r="D55" s="8"/>
      <c r="E55" s="8"/>
      <c r="F55" s="8"/>
      <c r="G55" s="85">
        <v>5</v>
      </c>
      <c r="H55" s="133" t="str">
        <f>D15</f>
        <v>Test</v>
      </c>
      <c r="I55" s="82" t="s">
        <v>70</v>
      </c>
      <c r="J55" s="8"/>
    </row>
    <row r="56" spans="1:10" x14ac:dyDescent="0.25">
      <c r="A56" s="8"/>
      <c r="B56" s="8"/>
      <c r="C56" s="8"/>
      <c r="D56" s="8"/>
      <c r="E56" s="8"/>
      <c r="F56" s="8"/>
      <c r="G56" s="71"/>
      <c r="H56" s="87"/>
      <c r="I56" s="81" t="s">
        <v>71</v>
      </c>
      <c r="J56" s="8"/>
    </row>
    <row r="57" spans="1:10" x14ac:dyDescent="0.25">
      <c r="A57" s="8"/>
      <c r="B57" s="8"/>
      <c r="C57" s="8"/>
      <c r="D57" s="8"/>
      <c r="E57" s="8"/>
      <c r="F57" s="8"/>
      <c r="G57" s="71"/>
      <c r="H57" s="87"/>
      <c r="I57" s="81" t="s">
        <v>72</v>
      </c>
      <c r="J57" s="8"/>
    </row>
    <row r="58" spans="1:10" x14ac:dyDescent="0.25">
      <c r="A58" s="8"/>
      <c r="B58" s="8"/>
      <c r="C58" s="8"/>
      <c r="D58" s="8"/>
      <c r="E58" s="8"/>
      <c r="F58" s="8"/>
      <c r="G58" s="71"/>
      <c r="H58" s="87"/>
      <c r="I58" s="81" t="s">
        <v>73</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4" t="str">
        <f>D16</f>
        <v>Réunion</v>
      </c>
      <c r="I61" s="82" t="s">
        <v>66</v>
      </c>
      <c r="J61" s="8"/>
    </row>
    <row r="62" spans="1:10" x14ac:dyDescent="0.25">
      <c r="A62" s="8"/>
      <c r="B62" s="8"/>
      <c r="C62" s="8"/>
      <c r="D62" s="8"/>
      <c r="E62" s="8"/>
      <c r="F62" s="8"/>
      <c r="G62" s="71"/>
      <c r="H62" s="87"/>
      <c r="I62" s="81" t="s">
        <v>67</v>
      </c>
      <c r="J62" s="8"/>
    </row>
    <row r="63" spans="1:10" x14ac:dyDescent="0.25">
      <c r="A63" s="8"/>
      <c r="B63" s="8"/>
      <c r="C63" s="8"/>
      <c r="D63" s="8"/>
      <c r="E63" s="8"/>
      <c r="F63" s="8"/>
      <c r="G63" s="71"/>
      <c r="H63" s="87"/>
      <c r="I63" s="81" t="s">
        <v>68</v>
      </c>
      <c r="J63" s="8"/>
    </row>
    <row r="64" spans="1:10" x14ac:dyDescent="0.25">
      <c r="A64" s="8"/>
      <c r="B64" s="8"/>
      <c r="C64" s="8"/>
      <c r="D64" s="8"/>
      <c r="E64" s="8"/>
      <c r="F64" s="8"/>
      <c r="G64" s="71"/>
      <c r="H64" s="87"/>
      <c r="I64" s="81" t="s">
        <v>69</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10" zoomScaleNormal="100" zoomScaleSheetLayoutView="70" zoomScalePageLayoutView="70" workbookViewId="0">
      <selection activeCell="X7" sqref="X7"/>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200">
        <f ca="1">TODAY()</f>
        <v>44321</v>
      </c>
    </row>
    <row r="2" spans="2:129" ht="60.75" customHeight="1" thickBot="1" x14ac:dyDescent="0.3">
      <c r="B2" s="207" t="s">
        <v>122</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8"/>
      <c r="DB2" s="208"/>
      <c r="DC2" s="208"/>
      <c r="DD2" s="208"/>
      <c r="DE2" s="208"/>
      <c r="DF2" s="208"/>
      <c r="DG2" s="208"/>
      <c r="DH2" s="208"/>
      <c r="DI2" s="208"/>
      <c r="DJ2" s="208"/>
      <c r="DK2" s="208"/>
      <c r="DL2" s="208"/>
      <c r="DM2" s="208"/>
      <c r="DN2" s="208"/>
      <c r="DO2" s="208"/>
      <c r="DP2" s="208"/>
      <c r="DQ2" s="208"/>
      <c r="DR2" s="208"/>
      <c r="DS2" s="209"/>
    </row>
    <row r="3" spans="2:129" s="101" customFormat="1" ht="62.25" customHeight="1" x14ac:dyDescent="0.5">
      <c r="B3" s="199"/>
      <c r="C3" s="217">
        <f>Base!B6</f>
        <v>44319</v>
      </c>
      <c r="D3" s="214"/>
      <c r="E3" s="214"/>
      <c r="F3" s="214"/>
      <c r="G3" s="214"/>
      <c r="H3" s="214"/>
      <c r="I3" s="214"/>
      <c r="J3" s="216"/>
      <c r="K3" s="213">
        <f>C3+1</f>
        <v>44320</v>
      </c>
      <c r="L3" s="214"/>
      <c r="M3" s="214"/>
      <c r="N3" s="214"/>
      <c r="O3" s="216"/>
      <c r="P3" s="213">
        <f>K3+1</f>
        <v>44321</v>
      </c>
      <c r="Q3" s="214"/>
      <c r="R3" s="214"/>
      <c r="S3" s="214"/>
      <c r="T3" s="214"/>
      <c r="U3" s="214"/>
      <c r="V3" s="214"/>
      <c r="W3" s="214"/>
      <c r="X3" s="216"/>
      <c r="Y3" s="213">
        <f>P3+1</f>
        <v>44322</v>
      </c>
      <c r="Z3" s="214"/>
      <c r="AA3" s="214"/>
      <c r="AB3" s="214"/>
      <c r="AC3" s="214"/>
      <c r="AD3" s="214"/>
      <c r="AE3" s="214"/>
      <c r="AF3" s="216"/>
      <c r="AG3" s="217">
        <v>44326</v>
      </c>
      <c r="AH3" s="214"/>
      <c r="AI3" s="214"/>
      <c r="AJ3" s="214"/>
      <c r="AK3" s="214"/>
      <c r="AL3" s="214"/>
      <c r="AM3" s="214"/>
      <c r="AN3" s="216"/>
      <c r="AO3" s="213">
        <f>AG3+1</f>
        <v>44327</v>
      </c>
      <c r="AP3" s="214"/>
      <c r="AQ3" s="214"/>
      <c r="AR3" s="214"/>
      <c r="AS3" s="216"/>
      <c r="AT3" s="213">
        <f>AO3+1</f>
        <v>44328</v>
      </c>
      <c r="AU3" s="214"/>
      <c r="AV3" s="214"/>
      <c r="AW3" s="214"/>
      <c r="AX3" s="214"/>
      <c r="AY3" s="214"/>
      <c r="AZ3" s="214"/>
      <c r="BA3" s="214"/>
      <c r="BB3" s="216"/>
      <c r="BC3" s="217">
        <f>AT3+5</f>
        <v>44333</v>
      </c>
      <c r="BD3" s="214"/>
      <c r="BE3" s="214"/>
      <c r="BF3" s="214"/>
      <c r="BG3" s="214"/>
      <c r="BH3" s="214"/>
      <c r="BI3" s="214"/>
      <c r="BJ3" s="216"/>
      <c r="BK3" s="213">
        <f>BC3+1</f>
        <v>44334</v>
      </c>
      <c r="BL3" s="214"/>
      <c r="BM3" s="214"/>
      <c r="BN3" s="214"/>
      <c r="BO3" s="216"/>
      <c r="BP3" s="213">
        <f>BK3+1</f>
        <v>44335</v>
      </c>
      <c r="BQ3" s="214"/>
      <c r="BR3" s="214"/>
      <c r="BS3" s="214"/>
      <c r="BT3" s="214"/>
      <c r="BU3" s="214"/>
      <c r="BV3" s="214"/>
      <c r="BW3" s="214"/>
      <c r="BX3" s="216"/>
      <c r="BY3" s="213">
        <f>BP3+1</f>
        <v>44336</v>
      </c>
      <c r="BZ3" s="214"/>
      <c r="CA3" s="214"/>
      <c r="CB3" s="214"/>
      <c r="CC3" s="214"/>
      <c r="CD3" s="214"/>
      <c r="CE3" s="214"/>
      <c r="CF3" s="216"/>
      <c r="CG3" s="213">
        <f>BY3+5</f>
        <v>44341</v>
      </c>
      <c r="CH3" s="214"/>
      <c r="CI3" s="214"/>
      <c r="CJ3" s="214"/>
      <c r="CK3" s="216"/>
      <c r="CL3" s="213">
        <f>CG3+1</f>
        <v>44342</v>
      </c>
      <c r="CM3" s="214"/>
      <c r="CN3" s="214"/>
      <c r="CO3" s="214"/>
      <c r="CP3" s="214"/>
      <c r="CQ3" s="214"/>
      <c r="CR3" s="214"/>
      <c r="CS3" s="214"/>
      <c r="CT3" s="216"/>
      <c r="CU3" s="213">
        <f>CL3+1</f>
        <v>44343</v>
      </c>
      <c r="CV3" s="214"/>
      <c r="CW3" s="214"/>
      <c r="CX3" s="214"/>
      <c r="CY3" s="214"/>
      <c r="CZ3" s="214"/>
      <c r="DA3" s="214"/>
      <c r="DB3" s="216"/>
      <c r="DC3" s="217">
        <f>CU3+4</f>
        <v>44347</v>
      </c>
      <c r="DD3" s="214"/>
      <c r="DE3" s="214"/>
      <c r="DF3" s="214"/>
      <c r="DG3" s="214"/>
      <c r="DH3" s="214"/>
      <c r="DI3" s="214"/>
      <c r="DJ3" s="216"/>
      <c r="DK3" s="213">
        <f>DC3+1</f>
        <v>44348</v>
      </c>
      <c r="DL3" s="214"/>
      <c r="DM3" s="214"/>
      <c r="DN3" s="214"/>
      <c r="DO3" s="216"/>
      <c r="DP3" s="213">
        <f>DK3+1</f>
        <v>44349</v>
      </c>
      <c r="DQ3" s="214"/>
      <c r="DR3" s="214"/>
      <c r="DS3" s="215"/>
      <c r="DT3" s="198"/>
      <c r="DU3" s="198"/>
      <c r="DV3" s="198"/>
      <c r="DW3" s="198"/>
      <c r="DX3" s="198"/>
      <c r="DY3" s="198"/>
    </row>
    <row r="4" spans="2:129" s="15" customFormat="1" ht="19.5" thickBot="1" x14ac:dyDescent="0.3">
      <c r="B4" s="70" t="s">
        <v>8</v>
      </c>
      <c r="C4" s="218">
        <f>_xlfn.ISOWEEKNUM(C3)</f>
        <v>18</v>
      </c>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9">
        <f>_xlfn.ISOWEEKNUM(AG3)</f>
        <v>19</v>
      </c>
      <c r="AH4" s="218"/>
      <c r="AI4" s="218"/>
      <c r="AJ4" s="218"/>
      <c r="AK4" s="218"/>
      <c r="AL4" s="218"/>
      <c r="AM4" s="218"/>
      <c r="AN4" s="218"/>
      <c r="AO4" s="218"/>
      <c r="AP4" s="218"/>
      <c r="AQ4" s="218"/>
      <c r="AR4" s="218"/>
      <c r="AS4" s="218"/>
      <c r="AT4" s="218"/>
      <c r="AU4" s="218"/>
      <c r="AV4" s="218"/>
      <c r="AW4" s="218"/>
      <c r="AX4" s="218"/>
      <c r="AY4" s="218"/>
      <c r="AZ4" s="218"/>
      <c r="BA4" s="218"/>
      <c r="BB4" s="218"/>
      <c r="BC4" s="218">
        <f>_xlfn.ISOWEEKNUM(BC3)</f>
        <v>20</v>
      </c>
      <c r="BD4" s="218"/>
      <c r="BE4" s="218"/>
      <c r="BF4" s="218"/>
      <c r="BG4" s="218"/>
      <c r="BH4" s="218"/>
      <c r="BI4" s="218"/>
      <c r="BJ4" s="218"/>
      <c r="BK4" s="218"/>
      <c r="BL4" s="218"/>
      <c r="BM4" s="218"/>
      <c r="BN4" s="218"/>
      <c r="BO4" s="218"/>
      <c r="BP4" s="218"/>
      <c r="BQ4" s="218"/>
      <c r="BR4" s="218"/>
      <c r="BS4" s="218"/>
      <c r="BT4" s="218"/>
      <c r="BU4" s="218"/>
      <c r="BV4" s="218"/>
      <c r="BW4" s="218"/>
      <c r="BX4" s="218"/>
      <c r="BY4" s="218"/>
      <c r="BZ4" s="218"/>
      <c r="CA4" s="218"/>
      <c r="CB4" s="218"/>
      <c r="CC4" s="218"/>
      <c r="CD4" s="218"/>
      <c r="CE4" s="218"/>
      <c r="CF4" s="218"/>
      <c r="CG4" s="218"/>
      <c r="CH4" s="218"/>
      <c r="CI4" s="218"/>
      <c r="CJ4" s="218"/>
      <c r="CK4" s="218"/>
      <c r="CL4" s="218"/>
      <c r="CM4" s="218"/>
      <c r="CN4" s="218"/>
      <c r="CO4" s="218"/>
      <c r="CP4" s="218"/>
      <c r="CQ4" s="218"/>
      <c r="CR4" s="218"/>
      <c r="CS4" s="218"/>
      <c r="CT4" s="218"/>
      <c r="CU4" s="218"/>
      <c r="CV4" s="218"/>
      <c r="CW4" s="218"/>
      <c r="CX4" s="218"/>
      <c r="CY4" s="218"/>
      <c r="CZ4" s="218"/>
      <c r="DA4" s="218"/>
      <c r="DB4" s="218"/>
      <c r="DC4" s="219">
        <f>_xlfn.ISOWEEKNUM(DC3)</f>
        <v>22</v>
      </c>
      <c r="DD4" s="218"/>
      <c r="DE4" s="218"/>
      <c r="DF4" s="218"/>
      <c r="DG4" s="218"/>
      <c r="DH4" s="218"/>
      <c r="DI4" s="218"/>
      <c r="DJ4" s="218"/>
      <c r="DK4" s="218"/>
      <c r="DL4" s="218"/>
      <c r="DM4" s="218"/>
      <c r="DN4" s="218"/>
      <c r="DO4" s="218"/>
      <c r="DP4" s="218"/>
      <c r="DQ4" s="218"/>
      <c r="DR4" s="218"/>
      <c r="DS4" s="220"/>
      <c r="DT4" s="16"/>
      <c r="DU4" s="16"/>
      <c r="DV4" s="16"/>
      <c r="DW4" s="16"/>
      <c r="DX4" s="16"/>
      <c r="DY4" s="16"/>
    </row>
    <row r="5" spans="2:129" s="13" customFormat="1" ht="15.75" customHeight="1" x14ac:dyDescent="0.25">
      <c r="B5" s="227"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8"/>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60"/>
      <c r="F7" s="160"/>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3"/>
      <c r="BD7" s="114"/>
      <c r="BE7" s="114"/>
      <c r="BF7" s="114"/>
      <c r="BG7" s="114"/>
      <c r="BH7" s="114"/>
      <c r="BI7" s="114"/>
      <c r="BJ7" s="114"/>
      <c r="BK7" s="114"/>
      <c r="BL7" s="114"/>
      <c r="BM7" s="114"/>
      <c r="BN7" s="114"/>
      <c r="BO7" s="115"/>
      <c r="BP7" s="115"/>
      <c r="BQ7" s="115"/>
      <c r="BR7" s="115"/>
      <c r="BS7" s="115"/>
      <c r="BT7" s="115"/>
      <c r="BU7" s="115"/>
      <c r="BV7" s="115"/>
      <c r="BW7" s="115"/>
      <c r="BX7" s="115"/>
      <c r="BY7" s="115"/>
      <c r="BZ7" s="115"/>
      <c r="CA7" s="115"/>
      <c r="CB7" s="115"/>
      <c r="CC7" s="115"/>
      <c r="CD7" s="115"/>
      <c r="CE7" s="115"/>
      <c r="CF7" s="191"/>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60"/>
      <c r="H8" s="160"/>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60"/>
      <c r="I9" s="160"/>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60"/>
      <c r="E10" s="160"/>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5"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11"/>
    </row>
    <row r="14" spans="2:129" ht="15" customHeight="1" thickBot="1" x14ac:dyDescent="0.3">
      <c r="B14" s="226"/>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2"/>
    </row>
    <row r="15" spans="2:129" x14ac:dyDescent="0.25">
      <c r="B15" s="1" t="str">
        <f>Base!I10</f>
        <v>201 choix de l'architecture</v>
      </c>
      <c r="C15" s="67"/>
      <c r="D15" s="45"/>
      <c r="E15" s="45"/>
      <c r="F15" s="45"/>
      <c r="G15" s="45"/>
      <c r="H15" s="45"/>
      <c r="I15" s="45"/>
      <c r="J15" s="162"/>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3"/>
      <c r="BD15" s="114"/>
      <c r="BE15" s="114"/>
      <c r="BF15" s="114"/>
      <c r="BG15" s="114"/>
      <c r="BH15" s="114"/>
      <c r="BI15" s="114"/>
      <c r="BJ15" s="114"/>
      <c r="BK15" s="114"/>
      <c r="BL15" s="114"/>
      <c r="BM15" s="114"/>
      <c r="BN15" s="114"/>
      <c r="BO15" s="115"/>
      <c r="BP15" s="115"/>
      <c r="BQ15" s="115"/>
      <c r="BR15" s="115"/>
      <c r="BS15" s="115"/>
      <c r="BT15" s="115"/>
      <c r="BU15" s="115"/>
      <c r="BV15" s="115"/>
      <c r="BW15" s="115"/>
      <c r="BX15" s="115"/>
      <c r="BY15" s="115"/>
      <c r="BZ15" s="115"/>
      <c r="CA15" s="115"/>
      <c r="CB15" s="115"/>
      <c r="CC15" s="115"/>
      <c r="CD15" s="115"/>
      <c r="CE15" s="115"/>
      <c r="CF15" s="191"/>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8"/>
      <c r="R16" s="178"/>
      <c r="S16" s="178"/>
      <c r="T16" s="178"/>
      <c r="U16" s="178"/>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8"/>
      <c r="V17" s="178"/>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62"/>
      <c r="N18" s="162"/>
      <c r="O18" s="178"/>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8"/>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8"/>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8"/>
      <c r="AC21" s="178"/>
      <c r="AD21" s="178"/>
      <c r="AE21" s="178"/>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52"/>
      <c r="X22" s="178"/>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8"/>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62"/>
      <c r="K24" s="162"/>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62"/>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7"/>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7"/>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9"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0"/>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82"/>
      <c r="AH33" s="183"/>
      <c r="AI33" s="183"/>
      <c r="AJ33" s="114"/>
      <c r="AK33" s="114"/>
      <c r="AL33" s="114"/>
      <c r="AM33" s="114"/>
      <c r="AN33" s="114"/>
      <c r="AO33" s="114"/>
      <c r="AP33" s="114"/>
      <c r="AQ33" s="114"/>
      <c r="AR33" s="114"/>
      <c r="AS33" s="115"/>
      <c r="AT33" s="115"/>
      <c r="AU33" s="115"/>
      <c r="AV33" s="115"/>
      <c r="AW33" s="115"/>
      <c r="AX33" s="115"/>
      <c r="AY33" s="115"/>
      <c r="AZ33" s="115"/>
      <c r="BA33" s="115"/>
      <c r="BB33" s="192"/>
      <c r="BC33" s="113"/>
      <c r="BD33" s="114"/>
      <c r="BE33" s="114"/>
      <c r="BF33" s="114"/>
      <c r="BG33" s="114"/>
      <c r="BH33" s="114"/>
      <c r="BI33" s="114"/>
      <c r="BJ33" s="114"/>
      <c r="BK33" s="114"/>
      <c r="BL33" s="114"/>
      <c r="BM33" s="114"/>
      <c r="BN33" s="114"/>
      <c r="BO33" s="115"/>
      <c r="BP33" s="115"/>
      <c r="BQ33" s="115"/>
      <c r="BR33" s="115"/>
      <c r="BS33" s="115"/>
      <c r="BT33" s="115"/>
      <c r="BU33" s="115"/>
      <c r="BV33" s="115"/>
      <c r="BW33" s="115"/>
      <c r="BX33" s="115"/>
      <c r="BY33" s="115"/>
      <c r="BZ33" s="115"/>
      <c r="CA33" s="115"/>
      <c r="CB33" s="115"/>
      <c r="CC33" s="115"/>
      <c r="CD33" s="115"/>
      <c r="CE33" s="115"/>
      <c r="CF33" s="191"/>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80"/>
      <c r="AK34" s="180"/>
      <c r="AL34" s="180"/>
      <c r="AM34" s="180"/>
      <c r="AN34" s="45"/>
      <c r="AO34" s="45"/>
      <c r="AP34" s="45"/>
      <c r="AQ34" s="45"/>
      <c r="AR34" s="45"/>
      <c r="AS34" s="44"/>
      <c r="AT34" s="44"/>
      <c r="AU34" s="44"/>
      <c r="AV34" s="44"/>
      <c r="AW34" s="44"/>
      <c r="AX34" s="44"/>
      <c r="AY34" s="44"/>
      <c r="AZ34" s="44"/>
      <c r="BA34" s="44"/>
      <c r="BB34" s="193"/>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80"/>
      <c r="AO35" s="180"/>
      <c r="AP35" s="180"/>
      <c r="AQ35" s="45"/>
      <c r="AR35" s="45"/>
      <c r="AS35" s="45"/>
      <c r="AT35" s="45"/>
      <c r="AU35" s="44"/>
      <c r="AV35" s="44"/>
      <c r="AW35" s="44"/>
      <c r="AX35" s="44"/>
      <c r="AY35" s="44"/>
      <c r="AZ35" s="44"/>
      <c r="BA35" s="44"/>
      <c r="BB35" s="193"/>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80"/>
      <c r="AR36" s="180"/>
      <c r="AS36" s="180"/>
      <c r="AT36" s="45"/>
      <c r="AU36" s="44"/>
      <c r="AV36" s="44"/>
      <c r="AW36" s="44"/>
      <c r="AX36" s="44"/>
      <c r="AY36" s="44"/>
      <c r="AZ36" s="44"/>
      <c r="BA36" s="44"/>
      <c r="BB36" s="193"/>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80"/>
      <c r="AU37" s="181"/>
      <c r="AV37" s="181"/>
      <c r="AW37" s="44"/>
      <c r="AX37" s="44"/>
      <c r="AY37" s="44"/>
      <c r="AZ37" s="44"/>
      <c r="BA37" s="44"/>
      <c r="BB37" s="193"/>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3"/>
      <c r="BC38" s="179"/>
      <c r="BD38" s="180"/>
      <c r="BE38" s="180"/>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3"/>
      <c r="BC39" s="67"/>
      <c r="BD39" s="45"/>
      <c r="BE39" s="44"/>
      <c r="BF39" s="180"/>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3"/>
      <c r="BC40" s="67"/>
      <c r="BD40" s="45"/>
      <c r="BE40" s="44"/>
      <c r="BF40" s="45"/>
      <c r="BG40" s="45"/>
      <c r="BH40" s="44"/>
      <c r="BI40" s="44"/>
      <c r="BJ40" s="44"/>
      <c r="BK40" s="44"/>
      <c r="BL40" s="44"/>
      <c r="BM40" s="44"/>
      <c r="BN40" s="44"/>
      <c r="BO40" s="44"/>
      <c r="BP40" s="44"/>
      <c r="BQ40" s="44"/>
      <c r="BR40" s="45"/>
      <c r="BS40" s="45"/>
      <c r="BT40" s="45"/>
      <c r="BU40" s="180"/>
      <c r="BV40" s="180"/>
      <c r="BW40" s="180"/>
      <c r="BX40" s="180"/>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3"/>
      <c r="BC41" s="67"/>
      <c r="BD41" s="45"/>
      <c r="BE41" s="44"/>
      <c r="BF41" s="45"/>
      <c r="BG41" s="45"/>
      <c r="BH41" s="44"/>
      <c r="BI41" s="44"/>
      <c r="BJ41" s="181"/>
      <c r="BK41" s="181"/>
      <c r="BL41" s="181"/>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4"/>
      <c r="BC42" s="64"/>
      <c r="BD42" s="39"/>
      <c r="BE42" s="38"/>
      <c r="BF42" s="39"/>
      <c r="BG42" s="39"/>
      <c r="BH42" s="38"/>
      <c r="BI42" s="38"/>
      <c r="BJ42" s="38"/>
      <c r="BK42" s="38"/>
      <c r="BL42" s="38"/>
      <c r="BM42" s="165"/>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4"/>
      <c r="BC43" s="64"/>
      <c r="BD43" s="39"/>
      <c r="BE43" s="38"/>
      <c r="BF43" s="39"/>
      <c r="BG43" s="39"/>
      <c r="BH43" s="38"/>
      <c r="BI43" s="38"/>
      <c r="BJ43" s="38"/>
      <c r="BK43" s="38"/>
      <c r="BL43" s="38"/>
      <c r="BM43" s="38"/>
      <c r="BN43" s="165"/>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4"/>
      <c r="BC44" s="64"/>
      <c r="BD44" s="39"/>
      <c r="BE44" s="38"/>
      <c r="BF44" s="39"/>
      <c r="BG44" s="39"/>
      <c r="BH44" s="38"/>
      <c r="BI44" s="38"/>
      <c r="BJ44" s="38"/>
      <c r="BK44" s="38"/>
      <c r="BL44" s="38"/>
      <c r="BM44" s="38"/>
      <c r="BN44" s="38"/>
      <c r="BO44" s="165"/>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4"/>
      <c r="BC45" s="64"/>
      <c r="BD45" s="39"/>
      <c r="BE45" s="38"/>
      <c r="BF45" s="39"/>
      <c r="BG45" s="39"/>
      <c r="BH45" s="38"/>
      <c r="BI45" s="38"/>
      <c r="BJ45" s="38"/>
      <c r="BK45" s="38"/>
      <c r="BL45" s="38"/>
      <c r="BM45" s="38"/>
      <c r="BN45" s="38"/>
      <c r="BO45" s="38"/>
      <c r="BP45" s="165"/>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4"/>
      <c r="BC46" s="64"/>
      <c r="BD46" s="39"/>
      <c r="BE46" s="38"/>
      <c r="BF46" s="39"/>
      <c r="BG46" s="39"/>
      <c r="BH46" s="38"/>
      <c r="BI46" s="38"/>
      <c r="BJ46" s="38"/>
      <c r="BK46" s="38"/>
      <c r="BL46" s="38"/>
      <c r="BM46" s="38"/>
      <c r="BN46" s="38"/>
      <c r="BO46" s="38"/>
      <c r="BP46" s="38"/>
      <c r="BQ46" s="165"/>
      <c r="BR46" s="165"/>
      <c r="BS46" s="165"/>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4"/>
      <c r="BC47" s="64"/>
      <c r="BD47" s="39"/>
      <c r="BE47" s="38"/>
      <c r="BF47" s="39"/>
      <c r="BG47" s="159"/>
      <c r="BH47" s="165"/>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4"/>
      <c r="BC48" s="64"/>
      <c r="BD48" s="39"/>
      <c r="BE48" s="38"/>
      <c r="BF48" s="39"/>
      <c r="BG48" s="39"/>
      <c r="BH48" s="38"/>
      <c r="BI48" s="165"/>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4"/>
      <c r="BC49" s="64"/>
      <c r="BD49" s="39"/>
      <c r="BE49" s="38"/>
      <c r="BF49" s="39"/>
      <c r="BG49" s="39"/>
      <c r="BH49" s="38"/>
      <c r="BI49" s="38"/>
      <c r="BJ49" s="38"/>
      <c r="BK49" s="38"/>
      <c r="BL49" s="38"/>
      <c r="BM49" s="38"/>
      <c r="BN49" s="38"/>
      <c r="BO49" s="38"/>
      <c r="BP49" s="38"/>
      <c r="BQ49" s="38"/>
      <c r="BR49" s="38"/>
      <c r="BS49" s="38"/>
      <c r="BT49" s="165"/>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4"/>
      <c r="BC50" s="64"/>
      <c r="BD50" s="39"/>
      <c r="BE50" s="38"/>
      <c r="BF50" s="39"/>
      <c r="BG50" s="39"/>
      <c r="BH50" s="38"/>
      <c r="BI50" s="38"/>
      <c r="BJ50" s="38"/>
      <c r="BK50" s="38"/>
      <c r="BL50" s="38"/>
      <c r="BM50" s="38"/>
      <c r="BN50" s="38"/>
      <c r="BO50" s="38"/>
      <c r="BP50" s="38"/>
      <c r="BQ50" s="38"/>
      <c r="BR50" s="38"/>
      <c r="BS50" s="38"/>
      <c r="BT50" s="38"/>
      <c r="BU50" s="39"/>
      <c r="BV50" s="39"/>
      <c r="BW50" s="39"/>
      <c r="BX50" s="39"/>
      <c r="BY50" s="159"/>
      <c r="BZ50" s="159"/>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x14ac:dyDescent="0.25">
      <c r="B51" s="1" t="str">
        <f>Base!I44</f>
        <v xml:space="preserve">318 - </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4"/>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 xml:space="preserve">319 - </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4"/>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4"/>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4"/>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5"/>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1"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2"/>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9"/>
      <c r="D58" s="188"/>
      <c r="E58" s="188"/>
      <c r="F58" s="188"/>
      <c r="G58" s="188"/>
      <c r="H58" s="188"/>
      <c r="I58" s="188"/>
      <c r="J58" s="188"/>
      <c r="K58" s="188"/>
      <c r="L58" s="188"/>
      <c r="M58" s="188"/>
      <c r="N58" s="188"/>
      <c r="O58" s="184"/>
      <c r="P58" s="184"/>
      <c r="Q58" s="184"/>
      <c r="R58" s="184"/>
      <c r="S58" s="184"/>
      <c r="T58" s="184"/>
      <c r="U58" s="184"/>
      <c r="V58" s="184"/>
      <c r="W58" s="184"/>
      <c r="X58" s="184"/>
      <c r="Y58" s="184"/>
      <c r="Z58" s="184"/>
      <c r="AA58" s="184"/>
      <c r="AB58" s="184"/>
      <c r="AC58" s="184"/>
      <c r="AD58" s="184"/>
      <c r="AE58" s="184"/>
      <c r="AF58" s="184"/>
      <c r="AG58" s="189"/>
      <c r="AH58" s="188"/>
      <c r="AI58" s="188"/>
      <c r="AJ58" s="188"/>
      <c r="AK58" s="188"/>
      <c r="AL58" s="188"/>
      <c r="AM58" s="188"/>
      <c r="AN58" s="188"/>
      <c r="AO58" s="188"/>
      <c r="AP58" s="188"/>
      <c r="AQ58" s="188"/>
      <c r="AR58" s="188"/>
      <c r="AS58" s="184"/>
      <c r="AT58" s="184"/>
      <c r="AU58" s="184"/>
      <c r="AV58" s="184"/>
      <c r="AW58" s="184"/>
      <c r="AX58" s="184"/>
      <c r="AY58" s="184"/>
      <c r="AZ58" s="184"/>
      <c r="BA58" s="184"/>
      <c r="BB58" s="184"/>
      <c r="BC58" s="185"/>
      <c r="BD58" s="186"/>
      <c r="BE58" s="186"/>
      <c r="BF58" s="186"/>
      <c r="BG58" s="186"/>
      <c r="BH58" s="186"/>
      <c r="BI58" s="186"/>
      <c r="BJ58" s="186"/>
      <c r="BK58" s="186"/>
      <c r="BL58" s="186"/>
      <c r="BM58" s="186"/>
      <c r="BN58" s="186"/>
      <c r="BO58" s="187"/>
      <c r="BP58" s="187"/>
      <c r="BQ58" s="187"/>
      <c r="BR58" s="187"/>
      <c r="BS58" s="187"/>
      <c r="BT58" s="187"/>
      <c r="BU58" s="187"/>
      <c r="BV58" s="187"/>
      <c r="BW58" s="187"/>
      <c r="BX58" s="187"/>
      <c r="BY58" s="187"/>
      <c r="BZ58" s="187"/>
      <c r="CA58" s="187"/>
      <c r="CB58" s="187"/>
      <c r="CC58" s="187"/>
      <c r="CD58" s="187"/>
      <c r="CE58" s="187"/>
      <c r="CF58" s="196"/>
      <c r="CG58" s="188"/>
      <c r="CH58" s="188"/>
      <c r="CI58" s="188"/>
      <c r="CJ58" s="188"/>
      <c r="CK58" s="184"/>
      <c r="CL58" s="184"/>
      <c r="CM58" s="184"/>
      <c r="CN58" s="184"/>
      <c r="CO58" s="184"/>
      <c r="CP58" s="184"/>
      <c r="CQ58" s="184"/>
      <c r="CR58" s="184"/>
      <c r="CS58" s="184"/>
      <c r="CT58" s="184"/>
      <c r="CU58" s="184"/>
      <c r="CV58" s="184"/>
      <c r="CW58" s="184"/>
      <c r="CX58" s="184"/>
      <c r="CY58" s="184"/>
      <c r="CZ58" s="184"/>
      <c r="DA58" s="184"/>
      <c r="DB58" s="184"/>
      <c r="DC58" s="189"/>
      <c r="DD58" s="188"/>
      <c r="DE58" s="188"/>
      <c r="DF58" s="188"/>
      <c r="DG58" s="188"/>
      <c r="DH58" s="188"/>
      <c r="DI58" s="188"/>
      <c r="DJ58" s="188"/>
      <c r="DK58" s="188"/>
      <c r="DL58" s="188"/>
      <c r="DM58" s="188"/>
      <c r="DN58" s="188"/>
      <c r="DO58" s="184"/>
      <c r="DP58" s="184"/>
      <c r="DQ58" s="184"/>
      <c r="DR58" s="184"/>
      <c r="DS58" s="190"/>
    </row>
    <row r="59" spans="2:123" x14ac:dyDescent="0.25">
      <c r="B59" s="1" t="str">
        <f>Base!I50</f>
        <v>402 journal de travail</v>
      </c>
      <c r="C59" s="166"/>
      <c r="D59" s="167"/>
      <c r="E59" s="167"/>
      <c r="F59" s="167"/>
      <c r="G59" s="167"/>
      <c r="H59" s="167"/>
      <c r="I59" s="167"/>
      <c r="J59" s="167"/>
      <c r="K59" s="167"/>
      <c r="L59" s="167"/>
      <c r="M59" s="167"/>
      <c r="N59" s="167"/>
      <c r="O59" s="168"/>
      <c r="P59" s="168"/>
      <c r="Q59" s="168"/>
      <c r="R59" s="168"/>
      <c r="S59" s="168"/>
      <c r="T59" s="168"/>
      <c r="U59" s="168"/>
      <c r="V59" s="168"/>
      <c r="W59" s="168"/>
      <c r="X59" s="168"/>
      <c r="Y59" s="168"/>
      <c r="Z59" s="168"/>
      <c r="AA59" s="168"/>
      <c r="AB59" s="168"/>
      <c r="AC59" s="168"/>
      <c r="AD59" s="168"/>
      <c r="AE59" s="168"/>
      <c r="AF59" s="168"/>
      <c r="AG59" s="166"/>
      <c r="AH59" s="167"/>
      <c r="AI59" s="167"/>
      <c r="AJ59" s="167"/>
      <c r="AK59" s="167"/>
      <c r="AL59" s="167"/>
      <c r="AM59" s="167"/>
      <c r="AN59" s="167"/>
      <c r="AO59" s="167"/>
      <c r="AP59" s="167"/>
      <c r="AQ59" s="167"/>
      <c r="AR59" s="167"/>
      <c r="AS59" s="168"/>
      <c r="AT59" s="168"/>
      <c r="AU59" s="168"/>
      <c r="AV59" s="168"/>
      <c r="AW59" s="168"/>
      <c r="AX59" s="168"/>
      <c r="AY59" s="168"/>
      <c r="AZ59" s="168"/>
      <c r="BA59" s="168"/>
      <c r="BB59" s="168"/>
      <c r="BC59" s="166"/>
      <c r="BD59" s="167"/>
      <c r="BE59" s="167"/>
      <c r="BF59" s="167"/>
      <c r="BG59" s="167"/>
      <c r="BH59" s="167"/>
      <c r="BI59" s="167"/>
      <c r="BJ59" s="167"/>
      <c r="BK59" s="167"/>
      <c r="BL59" s="167"/>
      <c r="BM59" s="167"/>
      <c r="BN59" s="167"/>
      <c r="BO59" s="168"/>
      <c r="BP59" s="168"/>
      <c r="BQ59" s="168"/>
      <c r="BR59" s="168"/>
      <c r="BS59" s="168"/>
      <c r="BT59" s="168"/>
      <c r="BU59" s="168"/>
      <c r="BV59" s="168"/>
      <c r="BW59" s="168"/>
      <c r="BX59" s="168"/>
      <c r="BY59" s="168"/>
      <c r="BZ59" s="168"/>
      <c r="CA59" s="168"/>
      <c r="CB59" s="168"/>
      <c r="CC59" s="168"/>
      <c r="CD59" s="168"/>
      <c r="CE59" s="168"/>
      <c r="CF59" s="169"/>
      <c r="CG59" s="167"/>
      <c r="CH59" s="167"/>
      <c r="CI59" s="167"/>
      <c r="CJ59" s="167"/>
      <c r="CK59" s="168"/>
      <c r="CL59" s="168"/>
      <c r="CM59" s="168"/>
      <c r="CN59" s="168"/>
      <c r="CO59" s="168"/>
      <c r="CP59" s="168"/>
      <c r="CQ59" s="168"/>
      <c r="CR59" s="168"/>
      <c r="CS59" s="168"/>
      <c r="CT59" s="168"/>
      <c r="CU59" s="168"/>
      <c r="CV59" s="168"/>
      <c r="CW59" s="168"/>
      <c r="CX59" s="168"/>
      <c r="CY59" s="168"/>
      <c r="CZ59" s="168"/>
      <c r="DA59" s="168"/>
      <c r="DB59" s="168"/>
      <c r="DC59" s="166"/>
      <c r="DD59" s="167"/>
      <c r="DE59" s="167"/>
      <c r="DF59" s="167"/>
      <c r="DG59" s="167"/>
      <c r="DH59" s="167"/>
      <c r="DI59" s="167"/>
      <c r="DJ59" s="167"/>
      <c r="DK59" s="167"/>
      <c r="DL59" s="167"/>
      <c r="DM59" s="167"/>
      <c r="DN59" s="167"/>
      <c r="DO59" s="168"/>
      <c r="DP59" s="168"/>
      <c r="DQ59" s="168"/>
      <c r="DR59" s="168"/>
      <c r="DS59" s="169"/>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3"/>
      <c r="DN60" s="163"/>
      <c r="DO60" s="164"/>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4"/>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3"/>
      <c r="DL61" s="163"/>
      <c r="DM61" s="39"/>
      <c r="DN61" s="39"/>
      <c r="DO61" s="38"/>
      <c r="DP61" s="38"/>
      <c r="DQ61" s="38"/>
      <c r="DR61" s="38"/>
      <c r="DS61" s="60"/>
    </row>
    <row r="62" spans="2:123" x14ac:dyDescent="0.25">
      <c r="B62" s="1" t="str">
        <f>Base!I53</f>
        <v>405 mise en place du GitHub</v>
      </c>
      <c r="C62" s="64"/>
      <c r="D62" s="39"/>
      <c r="E62" s="39"/>
      <c r="F62" s="39"/>
      <c r="G62" s="39"/>
      <c r="H62" s="39"/>
      <c r="I62" s="39"/>
      <c r="J62" s="163"/>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70"/>
      <c r="K63" s="41"/>
      <c r="L63" s="41"/>
      <c r="M63" s="41"/>
      <c r="N63" s="41"/>
      <c r="O63" s="171"/>
      <c r="P63" s="40"/>
      <c r="Q63" s="40"/>
      <c r="R63" s="40"/>
      <c r="S63" s="40"/>
      <c r="T63" s="40"/>
      <c r="U63" s="40"/>
      <c r="V63" s="40"/>
      <c r="W63" s="40"/>
      <c r="X63" s="40"/>
      <c r="Y63" s="40"/>
      <c r="Z63" s="40"/>
      <c r="AA63" s="40"/>
      <c r="AB63" s="40"/>
      <c r="AC63" s="40"/>
      <c r="AD63" s="40"/>
      <c r="AE63" s="40"/>
      <c r="AF63" s="171"/>
      <c r="AG63" s="66"/>
      <c r="AH63" s="41"/>
      <c r="AI63" s="41"/>
      <c r="AJ63" s="41"/>
      <c r="AK63" s="41"/>
      <c r="AL63" s="41"/>
      <c r="AM63" s="41"/>
      <c r="AN63" s="41"/>
      <c r="AO63" s="41"/>
      <c r="AP63" s="41"/>
      <c r="AQ63" s="41"/>
      <c r="AR63" s="41"/>
      <c r="AS63" s="171"/>
      <c r="AT63" s="40"/>
      <c r="AU63" s="40"/>
      <c r="AV63" s="40"/>
      <c r="AW63" s="40"/>
      <c r="AX63" s="40"/>
      <c r="AY63" s="40"/>
      <c r="AZ63" s="40"/>
      <c r="BA63" s="40"/>
      <c r="BB63" s="171"/>
      <c r="BC63" s="65"/>
      <c r="BD63" s="59"/>
      <c r="BE63" s="59"/>
      <c r="BF63" s="59"/>
      <c r="BG63" s="59"/>
      <c r="BH63" s="59"/>
      <c r="BI63" s="59"/>
      <c r="BJ63" s="59"/>
      <c r="BK63" s="59"/>
      <c r="BL63" s="59"/>
      <c r="BM63" s="59"/>
      <c r="BN63" s="59"/>
      <c r="BO63" s="172"/>
      <c r="BP63" s="58"/>
      <c r="BQ63" s="58"/>
      <c r="BR63" s="58"/>
      <c r="BS63" s="58"/>
      <c r="BT63" s="58"/>
      <c r="BU63" s="58"/>
      <c r="BV63" s="58"/>
      <c r="BW63" s="58"/>
      <c r="BX63" s="58"/>
      <c r="BY63" s="58"/>
      <c r="BZ63" s="58"/>
      <c r="CA63" s="58"/>
      <c r="CB63" s="58"/>
      <c r="CC63" s="58"/>
      <c r="CD63" s="58"/>
      <c r="CE63" s="58"/>
      <c r="CF63" s="197"/>
      <c r="CG63" s="41"/>
      <c r="CH63" s="41"/>
      <c r="CI63" s="41"/>
      <c r="CJ63" s="41"/>
      <c r="CK63" s="171"/>
      <c r="CL63" s="40"/>
      <c r="CM63" s="40"/>
      <c r="CN63" s="40"/>
      <c r="CO63" s="40"/>
      <c r="CP63" s="40"/>
      <c r="CQ63" s="40"/>
      <c r="CR63" s="40"/>
      <c r="CS63" s="40"/>
      <c r="CT63" s="40"/>
      <c r="CU63" s="40"/>
      <c r="CV63" s="40"/>
      <c r="CW63" s="40"/>
      <c r="CX63" s="40"/>
      <c r="CY63" s="40"/>
      <c r="CZ63" s="40"/>
      <c r="DA63" s="40"/>
      <c r="DB63" s="171"/>
      <c r="DC63" s="66"/>
      <c r="DD63" s="41"/>
      <c r="DE63" s="41"/>
      <c r="DF63" s="41"/>
      <c r="DG63" s="41"/>
      <c r="DH63" s="41"/>
      <c r="DI63" s="41"/>
      <c r="DJ63" s="41"/>
      <c r="DK63" s="41"/>
      <c r="DL63" s="41"/>
      <c r="DM63" s="41"/>
      <c r="DN63" s="41"/>
      <c r="DO63" s="40"/>
      <c r="DP63" s="40"/>
      <c r="DQ63" s="40"/>
      <c r="DR63" s="171"/>
      <c r="DS63" s="173"/>
    </row>
    <row r="64" spans="2:123" ht="15" customHeight="1" x14ac:dyDescent="0.25">
      <c r="B64" s="223"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4"/>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4"/>
      <c r="AX66" s="184"/>
      <c r="AY66" s="184"/>
      <c r="AZ66" s="184"/>
      <c r="BA66" s="184"/>
      <c r="BB66" s="184"/>
      <c r="BC66" s="185"/>
      <c r="BD66" s="186"/>
      <c r="BE66" s="186"/>
      <c r="BF66" s="186"/>
      <c r="BG66" s="186"/>
      <c r="BH66" s="186"/>
      <c r="BI66" s="186"/>
      <c r="BJ66" s="186"/>
      <c r="BK66" s="186"/>
      <c r="BL66" s="186"/>
      <c r="BM66" s="186"/>
      <c r="BN66" s="186"/>
      <c r="BO66" s="187"/>
      <c r="BP66" s="187"/>
      <c r="BQ66" s="187"/>
      <c r="BR66" s="187"/>
      <c r="BS66" s="187"/>
      <c r="BT66" s="187"/>
      <c r="BU66" s="187"/>
      <c r="BV66" s="187"/>
      <c r="BW66" s="187"/>
      <c r="BX66" s="187"/>
      <c r="BY66" s="187"/>
      <c r="BZ66" s="187"/>
      <c r="CA66" s="187"/>
      <c r="CB66" s="187"/>
      <c r="CC66" s="187"/>
      <c r="CD66" s="187"/>
      <c r="CE66" s="187"/>
      <c r="CF66" s="196"/>
      <c r="CG66" s="188"/>
      <c r="CH66" s="188"/>
      <c r="CI66" s="188"/>
      <c r="CJ66" s="188"/>
      <c r="CK66" s="184"/>
      <c r="CL66" s="184"/>
      <c r="CM66" s="184"/>
      <c r="CN66" s="184"/>
      <c r="CO66" s="184"/>
      <c r="CP66" s="184"/>
      <c r="CQ66" s="184"/>
      <c r="CR66" s="184"/>
      <c r="CS66" s="184"/>
      <c r="CT66" s="184"/>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6"/>
      <c r="BD67" s="167"/>
      <c r="BE67" s="167"/>
      <c r="BF67" s="167"/>
      <c r="BG67" s="167"/>
      <c r="BH67" s="167"/>
      <c r="BI67" s="167"/>
      <c r="BJ67" s="167"/>
      <c r="BK67" s="167"/>
      <c r="BL67" s="167"/>
      <c r="BM67" s="167"/>
      <c r="BN67" s="167"/>
      <c r="BO67" s="168"/>
      <c r="BP67" s="168"/>
      <c r="BQ67" s="168"/>
      <c r="BR67" s="168"/>
      <c r="BS67" s="168"/>
      <c r="BT67" s="168"/>
      <c r="BU67" s="168"/>
      <c r="BV67" s="168"/>
      <c r="BW67" s="168"/>
      <c r="BX67" s="168"/>
      <c r="BY67" s="168"/>
      <c r="BZ67" s="168"/>
      <c r="CA67" s="168"/>
      <c r="CB67" s="168"/>
      <c r="CC67" s="168"/>
      <c r="CD67" s="168"/>
      <c r="CE67" s="168"/>
      <c r="CF67" s="169"/>
      <c r="CG67" s="167"/>
      <c r="CH67" s="167"/>
      <c r="CI67" s="167"/>
      <c r="CJ67" s="167"/>
      <c r="CK67" s="168"/>
      <c r="CL67" s="168"/>
      <c r="CM67" s="168"/>
      <c r="CN67" s="168"/>
      <c r="CO67" s="168"/>
      <c r="CP67" s="168"/>
      <c r="CQ67" s="168"/>
      <c r="CR67" s="168"/>
      <c r="CS67" s="168"/>
      <c r="CT67" s="168"/>
      <c r="CU67" s="168"/>
      <c r="CV67" s="168"/>
      <c r="CW67" s="168"/>
      <c r="CX67" s="168"/>
      <c r="CY67" s="168"/>
      <c r="CZ67" s="168"/>
      <c r="DA67" s="168"/>
      <c r="DB67" s="168"/>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6"/>
      <c r="BD68" s="167"/>
      <c r="BE68" s="167"/>
      <c r="BF68" s="167"/>
      <c r="BG68" s="167"/>
      <c r="BH68" s="167"/>
      <c r="BI68" s="167"/>
      <c r="BJ68" s="167"/>
      <c r="BK68" s="167"/>
      <c r="BL68" s="167"/>
      <c r="BM68" s="167"/>
      <c r="BN68" s="167"/>
      <c r="BO68" s="168"/>
      <c r="BP68" s="168"/>
      <c r="BQ68" s="168"/>
      <c r="BR68" s="168"/>
      <c r="BS68" s="168"/>
      <c r="BT68" s="168"/>
      <c r="BU68" s="168"/>
      <c r="BV68" s="168"/>
      <c r="BW68" s="168"/>
      <c r="BX68" s="168"/>
      <c r="BY68" s="168"/>
      <c r="BZ68" s="168"/>
      <c r="CA68" s="168"/>
      <c r="CB68" s="168"/>
      <c r="CC68" s="168"/>
      <c r="CD68" s="168"/>
      <c r="CE68" s="168"/>
      <c r="CF68" s="169"/>
      <c r="CG68" s="167"/>
      <c r="CH68" s="167"/>
      <c r="CI68" s="167"/>
      <c r="CJ68" s="167"/>
      <c r="CK68" s="168"/>
      <c r="CL68" s="168"/>
      <c r="CM68" s="168"/>
      <c r="CN68" s="168"/>
      <c r="CO68" s="168"/>
      <c r="CP68" s="168"/>
      <c r="CQ68" s="168"/>
      <c r="CR68" s="168"/>
      <c r="CS68" s="168"/>
      <c r="CT68" s="168"/>
      <c r="CU68" s="168"/>
      <c r="CV68" s="168"/>
      <c r="CW68" s="168"/>
      <c r="CX68" s="168"/>
      <c r="CY68" s="168"/>
      <c r="CZ68" s="168"/>
      <c r="DA68" s="168"/>
      <c r="DB68" s="168"/>
      <c r="DC68" s="166"/>
      <c r="DD68" s="167"/>
      <c r="DE68" s="167"/>
      <c r="DF68" s="167"/>
      <c r="DG68" s="167"/>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8"/>
      <c r="AX69" s="168"/>
      <c r="AY69" s="168"/>
      <c r="AZ69" s="168"/>
      <c r="BA69" s="168"/>
      <c r="BB69" s="168"/>
      <c r="BC69" s="166"/>
      <c r="BD69" s="167"/>
      <c r="BE69" s="167"/>
      <c r="BF69" s="167"/>
      <c r="BG69" s="167"/>
      <c r="BH69" s="167"/>
      <c r="BI69" s="167"/>
      <c r="BJ69" s="167"/>
      <c r="BK69" s="167"/>
      <c r="BL69" s="167"/>
      <c r="BM69" s="167"/>
      <c r="BN69" s="167"/>
      <c r="BO69" s="168"/>
      <c r="BP69" s="168"/>
      <c r="BQ69" s="168"/>
      <c r="BR69" s="168"/>
      <c r="BS69" s="168"/>
      <c r="BT69" s="168"/>
      <c r="BU69" s="168"/>
      <c r="BV69" s="168"/>
      <c r="BW69" s="168"/>
      <c r="BX69" s="168"/>
      <c r="BY69" s="168"/>
      <c r="BZ69" s="168"/>
      <c r="CA69" s="168"/>
      <c r="CB69" s="168"/>
      <c r="CC69" s="168"/>
      <c r="CD69" s="168"/>
      <c r="CE69" s="168"/>
      <c r="CF69" s="169"/>
      <c r="CG69" s="167"/>
      <c r="CH69" s="167"/>
      <c r="CI69" s="167"/>
      <c r="CJ69" s="167"/>
      <c r="CK69" s="168"/>
      <c r="CL69" s="168"/>
      <c r="CM69" s="168"/>
      <c r="CN69" s="168"/>
      <c r="CO69" s="168"/>
      <c r="CP69" s="168"/>
      <c r="CQ69" s="168"/>
      <c r="CR69" s="168"/>
      <c r="CS69" s="168"/>
      <c r="CT69" s="168"/>
      <c r="CU69" s="168"/>
      <c r="CV69" s="168"/>
      <c r="CW69" s="168"/>
      <c r="CX69" s="168"/>
      <c r="CY69" s="168"/>
      <c r="CZ69" s="168"/>
      <c r="DA69" s="168"/>
      <c r="DB69" s="168"/>
      <c r="DC69" s="166"/>
      <c r="DD69" s="167"/>
      <c r="DE69" s="167"/>
      <c r="DF69" s="167"/>
      <c r="DG69" s="167"/>
      <c r="DH69" s="161"/>
      <c r="DI69" s="161"/>
      <c r="DJ69" s="161"/>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1" t="str">
        <f>Base!H61</f>
        <v>Réunion</v>
      </c>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15.75" customHeight="1" thickBot="1" x14ac:dyDescent="0.3">
      <c r="B73" s="212"/>
      <c r="C73" s="127"/>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9"/>
    </row>
    <row r="74" spans="2:125" ht="30" x14ac:dyDescent="0.25">
      <c r="B74" s="130" t="str">
        <f>Base!I61</f>
        <v>601 réunion avec monsieur C.Egger, CdP</v>
      </c>
      <c r="C74" s="157"/>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3"/>
      <c r="BD74" s="114"/>
      <c r="BE74" s="114"/>
      <c r="BF74" s="114"/>
      <c r="BG74" s="114"/>
      <c r="BH74" s="114"/>
      <c r="BI74" s="114"/>
      <c r="BJ74" s="114"/>
      <c r="BK74" s="114"/>
      <c r="BL74" s="114"/>
      <c r="BM74" s="114"/>
      <c r="BN74" s="114"/>
      <c r="BO74" s="115"/>
      <c r="BP74" s="115"/>
      <c r="BQ74" s="115"/>
      <c r="BR74" s="115"/>
      <c r="BS74" s="115"/>
      <c r="BT74" s="115"/>
      <c r="BU74" s="115"/>
      <c r="BV74" s="115"/>
      <c r="BW74" s="115"/>
      <c r="BX74" s="115"/>
      <c r="BY74" s="115"/>
      <c r="BZ74" s="115"/>
      <c r="CA74" s="115"/>
      <c r="CB74" s="115"/>
      <c r="CC74" s="115"/>
      <c r="CD74" s="115"/>
      <c r="CE74" s="115"/>
      <c r="CF74" s="191"/>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31" t="str">
        <f>Base!I62</f>
        <v>602 réunion avec monsieur G.Gruaz, expert 1</v>
      </c>
      <c r="C75" s="158"/>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31"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31"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31"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2"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40"/>
      <c r="DO80" s="140"/>
      <c r="DP80" s="140"/>
      <c r="DQ80" s="140"/>
      <c r="DR80" s="140"/>
      <c r="DS80" s="140"/>
      <c r="DT80" s="33"/>
      <c r="DU80" s="33"/>
    </row>
    <row r="81" spans="3:125" x14ac:dyDescent="0.25">
      <c r="C81" s="151"/>
      <c r="D81" s="39"/>
      <c r="G81" s="210" t="s">
        <v>75</v>
      </c>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DT81" s="33"/>
      <c r="DU81" s="33"/>
    </row>
    <row r="82" spans="3:125" x14ac:dyDescent="0.25">
      <c r="DT82" s="33"/>
      <c r="DU82" s="33"/>
    </row>
    <row r="83" spans="3:125" x14ac:dyDescent="0.25">
      <c r="D83" s="153"/>
      <c r="G83" s="210" t="s">
        <v>76</v>
      </c>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59"/>
  <sheetViews>
    <sheetView showGridLines="0" tabSelected="1" topLeftCell="A31" zoomScale="85" zoomScaleNormal="85" workbookViewId="0">
      <selection activeCell="J45" sqref="J45"/>
    </sheetView>
  </sheetViews>
  <sheetFormatPr baseColWidth="10" defaultColWidth="11.42578125" defaultRowHeight="15" x14ac:dyDescent="0.25"/>
  <cols>
    <col min="1" max="1" width="2" style="17" customWidth="1"/>
    <col min="2" max="2" width="10.28515625" style="102"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22" customWidth="1"/>
    <col min="9" max="16384" width="11.42578125" style="17"/>
  </cols>
  <sheetData>
    <row r="1" spans="2:8" x14ac:dyDescent="0.25">
      <c r="C1" s="18" t="s">
        <v>2</v>
      </c>
      <c r="D1" s="231" t="str">
        <f>CONCATENATE(Base!C6," ",Base!D6)</f>
        <v>Costa Paola</v>
      </c>
      <c r="E1" s="231"/>
      <c r="G1" s="20" t="s">
        <v>28</v>
      </c>
      <c r="H1" s="150">
        <f ca="1">TODAY()</f>
        <v>44321</v>
      </c>
    </row>
    <row r="2" spans="2:8" ht="42.75" customHeight="1" thickBot="1" x14ac:dyDescent="0.3">
      <c r="B2" s="232" t="s">
        <v>10</v>
      </c>
      <c r="C2" s="232"/>
      <c r="D2" s="232"/>
      <c r="E2" s="232"/>
      <c r="F2" s="232"/>
      <c r="G2" s="232"/>
      <c r="H2" s="232"/>
    </row>
    <row r="3" spans="2:8" s="101" customFormat="1" ht="15.75" thickBot="1" x14ac:dyDescent="0.3">
      <c r="B3" s="103" t="s">
        <v>0</v>
      </c>
      <c r="C3" s="98" t="s">
        <v>9</v>
      </c>
      <c r="D3" s="201" t="s">
        <v>40</v>
      </c>
      <c r="E3" s="99" t="s">
        <v>29</v>
      </c>
      <c r="F3" s="99" t="s">
        <v>30</v>
      </c>
      <c r="G3" s="105" t="s">
        <v>31</v>
      </c>
      <c r="H3" s="100" t="s">
        <v>1</v>
      </c>
    </row>
    <row r="4" spans="2:8" ht="30" x14ac:dyDescent="0.25">
      <c r="B4" s="147">
        <v>44319</v>
      </c>
      <c r="C4" s="109">
        <f>IF(ISBLANK(B4),"",_xlfn.ISOWEEKNUM(B4))</f>
        <v>18</v>
      </c>
      <c r="D4" s="21" t="s">
        <v>67</v>
      </c>
      <c r="E4" s="176">
        <v>0.37152777777777773</v>
      </c>
      <c r="F4" s="174">
        <v>0.3888888888888889</v>
      </c>
      <c r="G4" s="106">
        <f>F4-E4</f>
        <v>1.736111111111116E-2</v>
      </c>
      <c r="H4" s="107" t="s">
        <v>107</v>
      </c>
    </row>
    <row r="5" spans="2:8" ht="45" x14ac:dyDescent="0.25">
      <c r="B5" s="147">
        <v>44319</v>
      </c>
      <c r="C5" s="109">
        <f t="shared" ref="C5:C52" si="0">IF(ISBLANK(B5),"",_xlfn.ISOWEEKNUM(B5))</f>
        <v>18</v>
      </c>
      <c r="D5" s="21" t="s">
        <v>66</v>
      </c>
      <c r="E5" s="175">
        <v>0.3888888888888889</v>
      </c>
      <c r="F5" s="174">
        <v>0.39930555555555558</v>
      </c>
      <c r="G5" s="106">
        <f t="shared" ref="G5:G52" si="1">F5-E5</f>
        <v>1.0416666666666685E-2</v>
      </c>
      <c r="H5" s="107" t="s">
        <v>108</v>
      </c>
    </row>
    <row r="6" spans="2:8" ht="30" x14ac:dyDescent="0.25">
      <c r="B6" s="147">
        <v>44319</v>
      </c>
      <c r="C6" s="109">
        <f t="shared" si="0"/>
        <v>18</v>
      </c>
      <c r="D6" s="21" t="s">
        <v>100</v>
      </c>
      <c r="E6" s="174">
        <v>0.41319444444444442</v>
      </c>
      <c r="F6" s="174">
        <v>0.4548611111111111</v>
      </c>
      <c r="G6" s="106">
        <f t="shared" si="1"/>
        <v>4.1666666666666685E-2</v>
      </c>
      <c r="H6" s="107" t="s">
        <v>110</v>
      </c>
    </row>
    <row r="7" spans="2:8" x14ac:dyDescent="0.25">
      <c r="B7" s="147">
        <v>44319</v>
      </c>
      <c r="C7" s="109">
        <f t="shared" si="0"/>
        <v>18</v>
      </c>
      <c r="D7" s="21" t="s">
        <v>53</v>
      </c>
      <c r="E7" s="174">
        <v>0.4548611111111111</v>
      </c>
      <c r="F7" s="174">
        <v>0.45833333333333331</v>
      </c>
      <c r="G7" s="106">
        <f t="shared" si="1"/>
        <v>3.4722222222222099E-3</v>
      </c>
      <c r="H7" s="107" t="s">
        <v>111</v>
      </c>
    </row>
    <row r="8" spans="2:8" x14ac:dyDescent="0.25">
      <c r="B8" s="147">
        <v>44319</v>
      </c>
      <c r="C8" s="109">
        <f t="shared" si="0"/>
        <v>18</v>
      </c>
      <c r="D8" s="21" t="s">
        <v>56</v>
      </c>
      <c r="E8" s="174">
        <v>0.45833333333333331</v>
      </c>
      <c r="F8" s="174">
        <v>0.48958333333333331</v>
      </c>
      <c r="G8" s="106">
        <f t="shared" si="1"/>
        <v>3.125E-2</v>
      </c>
      <c r="H8" s="107" t="s">
        <v>112</v>
      </c>
    </row>
    <row r="9" spans="2:8" ht="45" x14ac:dyDescent="0.25">
      <c r="B9" s="147">
        <v>44319</v>
      </c>
      <c r="C9" s="109">
        <f t="shared" si="0"/>
        <v>18</v>
      </c>
      <c r="D9" s="21" t="s">
        <v>79</v>
      </c>
      <c r="E9" s="174">
        <v>0.48958333333333331</v>
      </c>
      <c r="F9" s="174">
        <v>0.51041666666666663</v>
      </c>
      <c r="G9" s="106">
        <f t="shared" si="1"/>
        <v>2.0833333333333315E-2</v>
      </c>
      <c r="H9" s="107" t="s">
        <v>115</v>
      </c>
    </row>
    <row r="10" spans="2:8" ht="45" x14ac:dyDescent="0.25">
      <c r="B10" s="147">
        <v>44319</v>
      </c>
      <c r="C10" s="109">
        <f t="shared" si="0"/>
        <v>18</v>
      </c>
      <c r="D10" s="21" t="s">
        <v>104</v>
      </c>
      <c r="E10" s="174">
        <v>0.5625</v>
      </c>
      <c r="F10" s="174">
        <v>0.57986111111111105</v>
      </c>
      <c r="G10" s="106">
        <f t="shared" si="1"/>
        <v>1.7361111111111049E-2</v>
      </c>
      <c r="H10" s="107" t="s">
        <v>116</v>
      </c>
    </row>
    <row r="11" spans="2:8" x14ac:dyDescent="0.25">
      <c r="B11" s="147">
        <v>44319</v>
      </c>
      <c r="C11" s="109">
        <f t="shared" si="0"/>
        <v>18</v>
      </c>
      <c r="D11" s="21" t="s">
        <v>82</v>
      </c>
      <c r="E11" s="174">
        <v>0.57986111111111105</v>
      </c>
      <c r="F11" s="174">
        <v>0.59722222222222221</v>
      </c>
      <c r="G11" s="106">
        <f t="shared" si="1"/>
        <v>1.736111111111116E-2</v>
      </c>
      <c r="H11" s="107" t="s">
        <v>117</v>
      </c>
    </row>
    <row r="12" spans="2:8" ht="30" x14ac:dyDescent="0.25">
      <c r="B12" s="147">
        <v>44319</v>
      </c>
      <c r="C12" s="109">
        <f t="shared" si="0"/>
        <v>18</v>
      </c>
      <c r="D12" s="21" t="s">
        <v>101</v>
      </c>
      <c r="E12" s="174">
        <v>0.59722222222222221</v>
      </c>
      <c r="F12" s="174">
        <v>0.61111111111111105</v>
      </c>
      <c r="G12" s="106">
        <f t="shared" si="1"/>
        <v>1.388888888888884E-2</v>
      </c>
      <c r="H12" s="107" t="s">
        <v>118</v>
      </c>
    </row>
    <row r="13" spans="2:8" ht="30" x14ac:dyDescent="0.25">
      <c r="B13" s="147">
        <v>44319</v>
      </c>
      <c r="C13" s="109">
        <f t="shared" si="0"/>
        <v>18</v>
      </c>
      <c r="D13" s="21" t="s">
        <v>104</v>
      </c>
      <c r="E13" s="174">
        <v>0.61111111111111105</v>
      </c>
      <c r="F13" s="174">
        <v>0.62847222222222221</v>
      </c>
      <c r="G13" s="106">
        <f t="shared" si="1"/>
        <v>1.736111111111116E-2</v>
      </c>
      <c r="H13" s="107" t="s">
        <v>119</v>
      </c>
    </row>
    <row r="14" spans="2:8" x14ac:dyDescent="0.25">
      <c r="B14" s="147">
        <v>44319</v>
      </c>
      <c r="C14" s="109">
        <f t="shared" si="0"/>
        <v>18</v>
      </c>
      <c r="D14" s="21" t="s">
        <v>57</v>
      </c>
      <c r="E14" s="174">
        <v>0.64236111111111105</v>
      </c>
      <c r="F14" s="174">
        <v>0.65972222222222221</v>
      </c>
      <c r="G14" s="106">
        <f t="shared" si="1"/>
        <v>1.736111111111116E-2</v>
      </c>
      <c r="H14" s="107" t="s">
        <v>120</v>
      </c>
    </row>
    <row r="15" spans="2:8" ht="30" x14ac:dyDescent="0.25">
      <c r="B15" s="147">
        <v>44319</v>
      </c>
      <c r="C15" s="109">
        <f t="shared" si="0"/>
        <v>18</v>
      </c>
      <c r="D15" s="21" t="s">
        <v>104</v>
      </c>
      <c r="E15" s="174">
        <v>0.65972222222222221</v>
      </c>
      <c r="F15" s="174">
        <v>0.67708333333333337</v>
      </c>
      <c r="G15" s="106">
        <f t="shared" si="1"/>
        <v>1.736111111111116E-2</v>
      </c>
      <c r="H15" s="107" t="s">
        <v>121</v>
      </c>
    </row>
    <row r="16" spans="2:8" x14ac:dyDescent="0.25">
      <c r="B16" s="147">
        <v>44319</v>
      </c>
      <c r="C16" s="109">
        <f t="shared" si="0"/>
        <v>18</v>
      </c>
      <c r="D16" s="21" t="s">
        <v>74</v>
      </c>
      <c r="E16" s="174">
        <v>0.67708333333333337</v>
      </c>
      <c r="F16" s="174">
        <v>0.70833333333333337</v>
      </c>
      <c r="G16" s="106">
        <f t="shared" si="1"/>
        <v>3.125E-2</v>
      </c>
      <c r="H16" s="107" t="s">
        <v>124</v>
      </c>
    </row>
    <row r="17" spans="2:8" ht="30" x14ac:dyDescent="0.25">
      <c r="B17" s="147">
        <v>44320</v>
      </c>
      <c r="C17" s="109">
        <f t="shared" si="0"/>
        <v>18</v>
      </c>
      <c r="D17" s="21" t="s">
        <v>53</v>
      </c>
      <c r="E17" s="174">
        <v>0.40972222222222227</v>
      </c>
      <c r="F17" s="174">
        <v>0.41666666666666669</v>
      </c>
      <c r="G17" s="106">
        <f t="shared" si="1"/>
        <v>6.9444444444444198E-3</v>
      </c>
      <c r="H17" s="107" t="s">
        <v>123</v>
      </c>
    </row>
    <row r="18" spans="2:8" ht="30" x14ac:dyDescent="0.25">
      <c r="B18" s="147">
        <v>44320</v>
      </c>
      <c r="C18" s="109">
        <f t="shared" si="0"/>
        <v>18</v>
      </c>
      <c r="D18" s="21" t="s">
        <v>74</v>
      </c>
      <c r="E18" s="174">
        <v>0.41666666666666669</v>
      </c>
      <c r="F18" s="174">
        <v>0.4375</v>
      </c>
      <c r="G18" s="106">
        <f t="shared" si="1"/>
        <v>2.0833333333333315E-2</v>
      </c>
      <c r="H18" s="107" t="s">
        <v>125</v>
      </c>
    </row>
    <row r="19" spans="2:8" ht="45" x14ac:dyDescent="0.25">
      <c r="B19" s="147">
        <v>44320</v>
      </c>
      <c r="C19" s="109">
        <f t="shared" si="0"/>
        <v>18</v>
      </c>
      <c r="D19" s="21" t="s">
        <v>59</v>
      </c>
      <c r="E19" s="174">
        <v>0.4375</v>
      </c>
      <c r="F19" s="174">
        <v>0.47222222222222227</v>
      </c>
      <c r="G19" s="106">
        <f t="shared" si="1"/>
        <v>3.4722222222222265E-2</v>
      </c>
      <c r="H19" s="107" t="s">
        <v>126</v>
      </c>
    </row>
    <row r="20" spans="2:8" ht="31.5" customHeight="1" x14ac:dyDescent="0.25">
      <c r="B20" s="147">
        <v>44320</v>
      </c>
      <c r="C20" s="109">
        <f t="shared" si="0"/>
        <v>18</v>
      </c>
      <c r="D20" s="21" t="s">
        <v>81</v>
      </c>
      <c r="E20" s="174">
        <v>0.47222222222222227</v>
      </c>
      <c r="F20" s="174">
        <v>0.4861111111111111</v>
      </c>
      <c r="G20" s="106">
        <f t="shared" si="1"/>
        <v>1.388888888888884E-2</v>
      </c>
      <c r="H20" s="107" t="s">
        <v>127</v>
      </c>
    </row>
    <row r="21" spans="2:8" ht="30" x14ac:dyDescent="0.25">
      <c r="B21" s="147">
        <v>44320</v>
      </c>
      <c r="C21" s="109">
        <f t="shared" si="0"/>
        <v>18</v>
      </c>
      <c r="D21" s="21" t="s">
        <v>60</v>
      </c>
      <c r="E21" s="174">
        <v>0.4861111111111111</v>
      </c>
      <c r="F21" s="174">
        <v>0.51041666666666663</v>
      </c>
      <c r="G21" s="106">
        <f t="shared" si="1"/>
        <v>2.4305555555555525E-2</v>
      </c>
      <c r="H21" s="107" t="s">
        <v>128</v>
      </c>
    </row>
    <row r="22" spans="2:8" ht="45" x14ac:dyDescent="0.25">
      <c r="B22" s="147">
        <v>44320</v>
      </c>
      <c r="C22" s="109">
        <f t="shared" si="0"/>
        <v>18</v>
      </c>
      <c r="D22" s="21" t="s">
        <v>60</v>
      </c>
      <c r="E22" s="174">
        <v>0.64236111111111105</v>
      </c>
      <c r="F22" s="174">
        <v>0.67708333333333337</v>
      </c>
      <c r="G22" s="106">
        <f t="shared" si="1"/>
        <v>3.4722222222222321E-2</v>
      </c>
      <c r="H22" s="107" t="s">
        <v>129</v>
      </c>
    </row>
    <row r="23" spans="2:8" ht="45" x14ac:dyDescent="0.25">
      <c r="B23" s="147">
        <v>44320</v>
      </c>
      <c r="C23" s="109">
        <f t="shared" si="0"/>
        <v>18</v>
      </c>
      <c r="D23" s="21" t="s">
        <v>104</v>
      </c>
      <c r="E23" s="174">
        <v>0.67708333333333337</v>
      </c>
      <c r="F23" s="174">
        <v>0.69791666666666663</v>
      </c>
      <c r="G23" s="106">
        <f t="shared" si="1"/>
        <v>2.0833333333333259E-2</v>
      </c>
      <c r="H23" s="107" t="s">
        <v>130</v>
      </c>
    </row>
    <row r="24" spans="2:8" ht="30" x14ac:dyDescent="0.25">
      <c r="B24" s="147">
        <v>44320</v>
      </c>
      <c r="C24" s="109">
        <f t="shared" si="0"/>
        <v>18</v>
      </c>
      <c r="D24" s="21" t="s">
        <v>106</v>
      </c>
      <c r="E24" s="174">
        <v>0.69791666666666663</v>
      </c>
      <c r="F24" s="174">
        <v>0.70486111111111116</v>
      </c>
      <c r="G24" s="106">
        <f t="shared" si="1"/>
        <v>6.9444444444445308E-3</v>
      </c>
      <c r="H24" s="107" t="s">
        <v>132</v>
      </c>
    </row>
    <row r="25" spans="2:8" ht="45" x14ac:dyDescent="0.25">
      <c r="B25" s="147">
        <v>44321</v>
      </c>
      <c r="C25" s="109">
        <f t="shared" si="0"/>
        <v>18</v>
      </c>
      <c r="D25" s="21" t="s">
        <v>60</v>
      </c>
      <c r="E25" s="174">
        <v>0.35069444444444442</v>
      </c>
      <c r="F25" s="174">
        <v>0.3923611111111111</v>
      </c>
      <c r="G25" s="106">
        <f t="shared" si="1"/>
        <v>4.1666666666666685E-2</v>
      </c>
      <c r="H25" s="107" t="s">
        <v>133</v>
      </c>
    </row>
    <row r="26" spans="2:8" ht="30" x14ac:dyDescent="0.25">
      <c r="B26" s="147">
        <v>44321</v>
      </c>
      <c r="C26" s="109">
        <f t="shared" si="0"/>
        <v>18</v>
      </c>
      <c r="D26" s="21" t="s">
        <v>113</v>
      </c>
      <c r="E26" s="174">
        <v>0.3923611111111111</v>
      </c>
      <c r="F26" s="174">
        <v>0.39930555555555558</v>
      </c>
      <c r="G26" s="106">
        <f t="shared" si="1"/>
        <v>6.9444444444444753E-3</v>
      </c>
      <c r="H26" s="107" t="s">
        <v>134</v>
      </c>
    </row>
    <row r="27" spans="2:8" ht="30" x14ac:dyDescent="0.25">
      <c r="B27" s="147">
        <v>44321</v>
      </c>
      <c r="C27" s="109">
        <f t="shared" si="0"/>
        <v>18</v>
      </c>
      <c r="D27" s="21" t="s">
        <v>113</v>
      </c>
      <c r="E27" s="174">
        <v>0.40972222222222227</v>
      </c>
      <c r="F27" s="174">
        <v>0.4236111111111111</v>
      </c>
      <c r="G27" s="106">
        <f t="shared" si="1"/>
        <v>1.388888888888884E-2</v>
      </c>
      <c r="H27" s="107" t="s">
        <v>136</v>
      </c>
    </row>
    <row r="28" spans="2:8" ht="75" x14ac:dyDescent="0.25">
      <c r="B28" s="147">
        <v>44321</v>
      </c>
      <c r="C28" s="109">
        <f t="shared" si="0"/>
        <v>18</v>
      </c>
      <c r="D28" s="21" t="s">
        <v>66</v>
      </c>
      <c r="E28" s="174">
        <v>0.4236111111111111</v>
      </c>
      <c r="F28" s="174">
        <v>0.43055555555555558</v>
      </c>
      <c r="G28" s="106">
        <f t="shared" si="1"/>
        <v>6.9444444444444753E-3</v>
      </c>
      <c r="H28" s="107" t="s">
        <v>135</v>
      </c>
    </row>
    <row r="29" spans="2:8" ht="45" x14ac:dyDescent="0.25">
      <c r="B29" s="147">
        <v>44321</v>
      </c>
      <c r="C29" s="109">
        <f t="shared" si="0"/>
        <v>18</v>
      </c>
      <c r="D29" s="21" t="s">
        <v>55</v>
      </c>
      <c r="E29" s="174">
        <v>0.43402777777777773</v>
      </c>
      <c r="F29" s="174">
        <v>0.4513888888888889</v>
      </c>
      <c r="G29" s="106">
        <f t="shared" si="1"/>
        <v>1.736111111111116E-2</v>
      </c>
      <c r="H29" s="107" t="s">
        <v>138</v>
      </c>
    </row>
    <row r="30" spans="2:8" ht="30" x14ac:dyDescent="0.25">
      <c r="B30" s="147">
        <v>44321</v>
      </c>
      <c r="C30" s="109">
        <f t="shared" si="0"/>
        <v>18</v>
      </c>
      <c r="D30" s="21" t="s">
        <v>59</v>
      </c>
      <c r="E30" s="174">
        <v>0.4548611111111111</v>
      </c>
      <c r="F30" s="174">
        <v>0.47222222222222227</v>
      </c>
      <c r="G30" s="106">
        <f t="shared" si="1"/>
        <v>1.736111111111116E-2</v>
      </c>
      <c r="H30" s="107" t="s">
        <v>140</v>
      </c>
    </row>
    <row r="31" spans="2:8" ht="30" x14ac:dyDescent="0.25">
      <c r="B31" s="147">
        <v>44321</v>
      </c>
      <c r="C31" s="109">
        <f t="shared" si="0"/>
        <v>18</v>
      </c>
      <c r="D31" s="21" t="s">
        <v>104</v>
      </c>
      <c r="E31" s="174">
        <v>0.47222222222222227</v>
      </c>
      <c r="F31" s="174">
        <v>0.47916666666666669</v>
      </c>
      <c r="G31" s="106">
        <f t="shared" si="1"/>
        <v>6.9444444444444198E-3</v>
      </c>
      <c r="H31" s="107" t="s">
        <v>141</v>
      </c>
    </row>
    <row r="32" spans="2:8" ht="45" x14ac:dyDescent="0.25">
      <c r="B32" s="147">
        <v>44321</v>
      </c>
      <c r="C32" s="109">
        <f t="shared" si="0"/>
        <v>18</v>
      </c>
      <c r="D32" s="21" t="s">
        <v>62</v>
      </c>
      <c r="E32" s="174">
        <v>0.4826388888888889</v>
      </c>
      <c r="F32" s="174">
        <v>0.50347222222222221</v>
      </c>
      <c r="G32" s="106">
        <f t="shared" si="1"/>
        <v>2.0833333333333315E-2</v>
      </c>
      <c r="H32" s="107" t="s">
        <v>142</v>
      </c>
    </row>
    <row r="33" spans="2:8" ht="45" x14ac:dyDescent="0.25">
      <c r="B33" s="147">
        <v>44321</v>
      </c>
      <c r="C33" s="109">
        <f t="shared" si="0"/>
        <v>18</v>
      </c>
      <c r="D33" s="21" t="s">
        <v>62</v>
      </c>
      <c r="E33" s="174">
        <v>0.56944444444444442</v>
      </c>
      <c r="F33" s="174">
        <v>0.57986111111111105</v>
      </c>
      <c r="G33" s="106">
        <f t="shared" si="1"/>
        <v>1.041666666666663E-2</v>
      </c>
      <c r="H33" s="107" t="s">
        <v>143</v>
      </c>
    </row>
    <row r="34" spans="2:8" ht="45" x14ac:dyDescent="0.25">
      <c r="B34" s="147">
        <v>44321</v>
      </c>
      <c r="C34" s="109">
        <f t="shared" si="0"/>
        <v>18</v>
      </c>
      <c r="D34" s="21" t="s">
        <v>58</v>
      </c>
      <c r="E34" s="174">
        <v>0.59375</v>
      </c>
      <c r="F34" s="174">
        <v>0.62847222222222221</v>
      </c>
      <c r="G34" s="106">
        <f t="shared" si="1"/>
        <v>3.472222222222221E-2</v>
      </c>
      <c r="H34" s="107" t="s">
        <v>145</v>
      </c>
    </row>
    <row r="35" spans="2:8" ht="30" x14ac:dyDescent="0.25">
      <c r="B35" s="147">
        <v>44321</v>
      </c>
      <c r="C35" s="109">
        <f t="shared" si="0"/>
        <v>18</v>
      </c>
      <c r="D35" s="21" t="s">
        <v>59</v>
      </c>
      <c r="E35" s="174">
        <v>0.63888888888888895</v>
      </c>
      <c r="F35" s="174">
        <v>0.64236111111111105</v>
      </c>
      <c r="G35" s="106">
        <f t="shared" si="1"/>
        <v>3.4722222222220989E-3</v>
      </c>
      <c r="H35" s="107" t="s">
        <v>146</v>
      </c>
    </row>
    <row r="36" spans="2:8" ht="30" x14ac:dyDescent="0.25">
      <c r="B36" s="147">
        <v>44321</v>
      </c>
      <c r="C36" s="109">
        <f t="shared" si="0"/>
        <v>18</v>
      </c>
      <c r="D36" s="21" t="s">
        <v>65</v>
      </c>
      <c r="E36" s="174">
        <v>0.64236111111111105</v>
      </c>
      <c r="F36" s="174">
        <v>0.66666666666666663</v>
      </c>
      <c r="G36" s="106">
        <f t="shared" si="1"/>
        <v>2.430555555555558E-2</v>
      </c>
      <c r="H36" s="107" t="s">
        <v>147</v>
      </c>
    </row>
    <row r="37" spans="2:8" ht="30" x14ac:dyDescent="0.25">
      <c r="B37" s="147">
        <v>44321</v>
      </c>
      <c r="C37" s="109">
        <f t="shared" si="0"/>
        <v>18</v>
      </c>
      <c r="D37" s="21" t="s">
        <v>104</v>
      </c>
      <c r="E37" s="174">
        <v>0.68402777777777779</v>
      </c>
      <c r="F37" s="174">
        <v>0.69791666666666663</v>
      </c>
      <c r="G37" s="106">
        <f t="shared" si="1"/>
        <v>1.388888888888884E-2</v>
      </c>
      <c r="H37" s="107" t="s">
        <v>149</v>
      </c>
    </row>
    <row r="38" spans="2:8" x14ac:dyDescent="0.25">
      <c r="B38" s="147"/>
      <c r="C38" s="109" t="str">
        <f t="shared" si="0"/>
        <v/>
      </c>
      <c r="D38" s="21"/>
      <c r="E38" s="174"/>
      <c r="F38" s="174"/>
      <c r="G38" s="106">
        <f t="shared" si="1"/>
        <v>0</v>
      </c>
      <c r="H38" s="107"/>
    </row>
    <row r="39" spans="2:8" x14ac:dyDescent="0.25">
      <c r="B39" s="147"/>
      <c r="C39" s="109" t="str">
        <f t="shared" si="0"/>
        <v/>
      </c>
      <c r="D39" s="21"/>
      <c r="E39" s="174"/>
      <c r="F39" s="174"/>
      <c r="G39" s="106">
        <f t="shared" si="1"/>
        <v>0</v>
      </c>
      <c r="H39" s="107"/>
    </row>
    <row r="40" spans="2:8" x14ac:dyDescent="0.25">
      <c r="B40" s="147"/>
      <c r="C40" s="109" t="str">
        <f t="shared" si="0"/>
        <v/>
      </c>
      <c r="D40" s="21"/>
      <c r="E40" s="174"/>
      <c r="F40" s="174"/>
      <c r="G40" s="106">
        <f t="shared" si="1"/>
        <v>0</v>
      </c>
      <c r="H40" s="107"/>
    </row>
    <row r="41" spans="2:8" x14ac:dyDescent="0.25">
      <c r="B41" s="147"/>
      <c r="C41" s="109" t="str">
        <f t="shared" si="0"/>
        <v/>
      </c>
      <c r="D41" s="21"/>
      <c r="E41" s="174"/>
      <c r="F41" s="174"/>
      <c r="G41" s="106">
        <f t="shared" si="1"/>
        <v>0</v>
      </c>
      <c r="H41" s="107"/>
    </row>
    <row r="42" spans="2:8" x14ac:dyDescent="0.25">
      <c r="B42" s="147"/>
      <c r="C42" s="109" t="str">
        <f t="shared" si="0"/>
        <v/>
      </c>
      <c r="D42" s="21"/>
      <c r="E42" s="174"/>
      <c r="F42" s="174"/>
      <c r="G42" s="106">
        <f t="shared" si="1"/>
        <v>0</v>
      </c>
      <c r="H42" s="107"/>
    </row>
    <row r="43" spans="2:8" x14ac:dyDescent="0.25">
      <c r="B43" s="147"/>
      <c r="C43" s="109" t="str">
        <f t="shared" si="0"/>
        <v/>
      </c>
      <c r="D43" s="21"/>
      <c r="E43" s="174"/>
      <c r="F43" s="174"/>
      <c r="G43" s="106">
        <f t="shared" si="1"/>
        <v>0</v>
      </c>
      <c r="H43" s="107"/>
    </row>
    <row r="44" spans="2:8" x14ac:dyDescent="0.25">
      <c r="B44" s="147"/>
      <c r="C44" s="109" t="str">
        <f t="shared" si="0"/>
        <v/>
      </c>
      <c r="D44" s="21"/>
      <c r="E44" s="174"/>
      <c r="F44" s="174"/>
      <c r="G44" s="106">
        <f t="shared" si="1"/>
        <v>0</v>
      </c>
      <c r="H44" s="107"/>
    </row>
    <row r="45" spans="2:8" x14ac:dyDescent="0.25">
      <c r="B45" s="147"/>
      <c r="C45" s="109" t="str">
        <f t="shared" si="0"/>
        <v/>
      </c>
      <c r="D45" s="21"/>
      <c r="E45" s="174"/>
      <c r="F45" s="174"/>
      <c r="G45" s="106">
        <f t="shared" si="1"/>
        <v>0</v>
      </c>
      <c r="H45" s="107"/>
    </row>
    <row r="46" spans="2:8" x14ac:dyDescent="0.25">
      <c r="B46" s="147"/>
      <c r="C46" s="109" t="str">
        <f t="shared" si="0"/>
        <v/>
      </c>
      <c r="D46" s="21"/>
      <c r="E46" s="174"/>
      <c r="F46" s="174"/>
      <c r="G46" s="106">
        <f t="shared" si="1"/>
        <v>0</v>
      </c>
      <c r="H46" s="107"/>
    </row>
    <row r="47" spans="2:8" x14ac:dyDescent="0.25">
      <c r="B47" s="147"/>
      <c r="C47" s="109" t="str">
        <f t="shared" si="0"/>
        <v/>
      </c>
      <c r="D47" s="21"/>
      <c r="E47" s="174"/>
      <c r="F47" s="174"/>
      <c r="G47" s="106">
        <f t="shared" si="1"/>
        <v>0</v>
      </c>
      <c r="H47" s="107"/>
    </row>
    <row r="48" spans="2:8" x14ac:dyDescent="0.25">
      <c r="B48" s="147"/>
      <c r="C48" s="109" t="str">
        <f t="shared" si="0"/>
        <v/>
      </c>
      <c r="D48" s="21"/>
      <c r="E48" s="174"/>
      <c r="F48" s="174"/>
      <c r="G48" s="106">
        <f t="shared" si="1"/>
        <v>0</v>
      </c>
      <c r="H48" s="107"/>
    </row>
    <row r="49" spans="2:8" x14ac:dyDescent="0.25">
      <c r="B49" s="147"/>
      <c r="C49" s="109" t="str">
        <f t="shared" si="0"/>
        <v/>
      </c>
      <c r="D49" s="21"/>
      <c r="E49" s="174"/>
      <c r="F49" s="174"/>
      <c r="G49" s="106">
        <f t="shared" si="1"/>
        <v>0</v>
      </c>
      <c r="H49" s="107"/>
    </row>
    <row r="50" spans="2:8" x14ac:dyDescent="0.25">
      <c r="B50" s="147"/>
      <c r="C50" s="109" t="str">
        <f t="shared" si="0"/>
        <v/>
      </c>
      <c r="D50" s="21"/>
      <c r="E50" s="174"/>
      <c r="F50" s="174"/>
      <c r="G50" s="106">
        <f t="shared" si="1"/>
        <v>0</v>
      </c>
      <c r="H50" s="107"/>
    </row>
    <row r="51" spans="2:8" x14ac:dyDescent="0.25">
      <c r="B51" s="147"/>
      <c r="C51" s="109" t="str">
        <f t="shared" si="0"/>
        <v/>
      </c>
      <c r="D51" s="21"/>
      <c r="E51" s="174"/>
      <c r="F51" s="174"/>
      <c r="G51" s="106">
        <f t="shared" si="1"/>
        <v>0</v>
      </c>
      <c r="H51" s="107"/>
    </row>
    <row r="52" spans="2:8" x14ac:dyDescent="0.25">
      <c r="B52" s="147"/>
      <c r="C52" s="109" t="str">
        <f t="shared" si="0"/>
        <v/>
      </c>
      <c r="D52" s="21"/>
      <c r="E52" s="174"/>
      <c r="F52" s="174"/>
      <c r="G52" s="106">
        <f t="shared" si="1"/>
        <v>0</v>
      </c>
      <c r="H52" s="107"/>
    </row>
    <row r="54" spans="2:8" ht="15" customHeight="1" x14ac:dyDescent="0.25">
      <c r="F54" s="148" t="s">
        <v>47</v>
      </c>
      <c r="G54" s="149">
        <f>SUM(G4:G52)</f>
        <v>0.63888888888888884</v>
      </c>
    </row>
    <row r="55" spans="2:8" ht="15" customHeight="1" x14ac:dyDescent="0.25">
      <c r="F55" s="148" t="s">
        <v>48</v>
      </c>
      <c r="G55" s="149">
        <f>SUMIF($C$4:$C$52,18,$G$4:$G$52)</f>
        <v>0.63888888888888884</v>
      </c>
    </row>
    <row r="56" spans="2:8" ht="15" customHeight="1" x14ac:dyDescent="0.25">
      <c r="F56" s="148" t="s">
        <v>49</v>
      </c>
      <c r="G56" s="149">
        <f>SUMIF($C$4:$C$52,19,$G$4:$G$52)</f>
        <v>0</v>
      </c>
    </row>
    <row r="57" spans="2:8" ht="15" customHeight="1" x14ac:dyDescent="0.25">
      <c r="F57" s="148" t="s">
        <v>50</v>
      </c>
      <c r="G57" s="149">
        <f>SUMIF($C$4:$C$52,20,$G$4:$G$52)</f>
        <v>0</v>
      </c>
    </row>
    <row r="58" spans="2:8" ht="15" customHeight="1" x14ac:dyDescent="0.25">
      <c r="F58" s="148" t="s">
        <v>51</v>
      </c>
      <c r="G58" s="149">
        <f>SUMIF($C$4:$C$52,21,$G$4:$G$52)</f>
        <v>0</v>
      </c>
    </row>
    <row r="59" spans="2:8" ht="15" customHeight="1" x14ac:dyDescent="0.25">
      <c r="F59" s="148" t="s">
        <v>52</v>
      </c>
      <c r="G59" s="149">
        <f>SUMIF($C$4:$C$52,22,$G$4:$G$52)</f>
        <v>0</v>
      </c>
    </row>
  </sheetData>
  <sheetProtection sheet="1" objects="1" scenarios="1"/>
  <mergeCells count="2">
    <mergeCell ref="D1:E1"/>
    <mergeCell ref="B2:H2"/>
  </mergeCells>
  <conditionalFormatting sqref="F1 E53:F53 F3:F4 E6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5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61:B1048576 F54:F59 B1:B5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opLeftCell="A7" zoomScale="85" zoomScaleNormal="85" workbookViewId="0">
      <selection activeCell="F20" sqref="F20"/>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3" t="s">
        <v>131</v>
      </c>
      <c r="D1" s="202">
        <f ca="1">TODAY()</f>
        <v>44321</v>
      </c>
    </row>
    <row r="2" spans="2:4" ht="29.25" customHeight="1" thickBot="1" x14ac:dyDescent="0.3">
      <c r="B2" s="233" t="s">
        <v>45</v>
      </c>
      <c r="C2" s="233"/>
      <c r="D2" s="233"/>
    </row>
    <row r="3" spans="2:4" s="101" customFormat="1" x14ac:dyDescent="0.25">
      <c r="B3" s="137" t="s">
        <v>40</v>
      </c>
      <c r="C3" s="137" t="s">
        <v>31</v>
      </c>
      <c r="D3" s="108" t="s">
        <v>41</v>
      </c>
    </row>
    <row r="4" spans="2:4" x14ac:dyDescent="0.25">
      <c r="B4" s="143" t="str">
        <f>Base!I4</f>
        <v>101 planification initiale</v>
      </c>
      <c r="C4" s="138">
        <f>SUMIF(Journal!$D$4:$D$52,B4,Journal!$G$4:$G$52)</f>
        <v>3.125E-2</v>
      </c>
      <c r="D4" s="144" t="s">
        <v>109</v>
      </c>
    </row>
    <row r="5" spans="2:4" x14ac:dyDescent="0.25">
      <c r="B5" s="143" t="str">
        <f>Base!I5</f>
        <v>102 objectifs du projet</v>
      </c>
      <c r="C5" s="138">
        <f>SUMIF(Journal!$D$4:$D$52,B5,Journal!$G$4:$G$52)</f>
        <v>1.736111111111116E-2</v>
      </c>
      <c r="D5" s="144" t="s">
        <v>109</v>
      </c>
    </row>
    <row r="6" spans="2:4" x14ac:dyDescent="0.25">
      <c r="B6" s="143" t="str">
        <f>Base!I6</f>
        <v>103 introduction du projet</v>
      </c>
      <c r="C6" s="138">
        <f>SUMIF(Journal!$D$4:$D$52,B6,Journal!$G$4:$G$52)</f>
        <v>1.388888888888884E-2</v>
      </c>
      <c r="D6" s="144" t="s">
        <v>109</v>
      </c>
    </row>
    <row r="7" spans="2:4" x14ac:dyDescent="0.25">
      <c r="B7" s="143" t="str">
        <f>Base!I7</f>
        <v>104 découpage du projet en tâches distinctes</v>
      </c>
      <c r="C7" s="138">
        <f>SUMIF(Journal!$D$4:$D$52,B7,Journal!$G$4:$G$52)</f>
        <v>4.1666666666666685E-2</v>
      </c>
      <c r="D7" s="144" t="s">
        <v>109</v>
      </c>
    </row>
    <row r="8" spans="2:4" x14ac:dyDescent="0.25">
      <c r="B8" s="143" t="str">
        <f>Base!I8</f>
        <v>105 -</v>
      </c>
      <c r="C8" s="138">
        <f>SUMIF(Journal!$D$4:$D$52,B8,Journal!$G$4:$G$52)</f>
        <v>0</v>
      </c>
      <c r="D8" s="144"/>
    </row>
    <row r="9" spans="2:4" x14ac:dyDescent="0.25">
      <c r="B9" s="143" t="str">
        <f>Base!I9</f>
        <v>106 -</v>
      </c>
      <c r="C9" s="138">
        <f>SUMIF(Journal!$D$4:$D$52,B9,Journal!$G$4:$G$52)</f>
        <v>0</v>
      </c>
      <c r="D9" s="144"/>
    </row>
    <row r="10" spans="2:4" x14ac:dyDescent="0.25">
      <c r="B10" s="143" t="str">
        <f>Base!I10</f>
        <v>201 choix de l'architecture</v>
      </c>
      <c r="C10" s="138">
        <f>SUMIF(Journal!$D$4:$D$52,B10,Journal!$G$4:$G$52)</f>
        <v>1.736111111111116E-2</v>
      </c>
      <c r="D10" s="144" t="s">
        <v>109</v>
      </c>
    </row>
    <row r="11" spans="2:4" x14ac:dyDescent="0.25">
      <c r="B11" s="143" t="str">
        <f>Base!I11</f>
        <v>202 modélisation conceptuelle de la BDD</v>
      </c>
      <c r="C11" s="138">
        <f>SUMIF(Journal!$D$4:$D$52,B11,Journal!$G$4:$G$52)</f>
        <v>5.5555555555555525E-2</v>
      </c>
      <c r="D11" s="144" t="s">
        <v>109</v>
      </c>
    </row>
    <row r="12" spans="2:4" x14ac:dyDescent="0.25">
      <c r="B12" s="143" t="str">
        <f>Base!I12</f>
        <v>203 modélisation logique de la BDD</v>
      </c>
      <c r="C12" s="138">
        <f>SUMIF(Journal!$D$4:$D$52,B12,Journal!$G$4:$G$52)</f>
        <v>3.472222222222221E-2</v>
      </c>
      <c r="D12" s="144" t="s">
        <v>109</v>
      </c>
    </row>
    <row r="13" spans="2:4" x14ac:dyDescent="0.25">
      <c r="B13" s="143" t="str">
        <f>Base!I13</f>
        <v>204 maquettes de l'application</v>
      </c>
      <c r="C13" s="138">
        <f>SUMIF(Journal!$D$4:$D$52,B13,Journal!$G$4:$G$52)</f>
        <v>0.10069444444444453</v>
      </c>
      <c r="D13" s="144" t="s">
        <v>109</v>
      </c>
    </row>
    <row r="14" spans="2:4" x14ac:dyDescent="0.25">
      <c r="B14" s="143" t="str">
        <f>Base!I14</f>
        <v>205 diagrammes de flux</v>
      </c>
      <c r="C14" s="138">
        <f>SUMIF(Journal!$D$4:$D$52,B14,Journal!$G$4:$G$52)</f>
        <v>0</v>
      </c>
      <c r="D14" s="144"/>
    </row>
    <row r="15" spans="2:4" x14ac:dyDescent="0.25">
      <c r="B15" s="143" t="str">
        <f>Base!I15</f>
        <v>206 cas d'utilisation de l'application</v>
      </c>
      <c r="C15" s="138">
        <f>SUMIF(Journal!$D$4:$D$52,B15,Journal!$G$4:$G$52)</f>
        <v>3.1249999999999944E-2</v>
      </c>
      <c r="D15" s="144" t="s">
        <v>109</v>
      </c>
    </row>
    <row r="16" spans="2:4" x14ac:dyDescent="0.25">
      <c r="B16" s="143" t="str">
        <f>Base!I16</f>
        <v>207 scénarios de l'application</v>
      </c>
      <c r="C16" s="138">
        <f>SUMIF(Journal!$D$4:$D$52,B16,Journal!$G$4:$G$52)</f>
        <v>0</v>
      </c>
      <c r="D16" s="144"/>
    </row>
    <row r="17" spans="2:4" x14ac:dyDescent="0.25">
      <c r="B17" s="143" t="str">
        <f>Base!I17</f>
        <v>208 diagrammes de classe</v>
      </c>
      <c r="C17" s="138">
        <f>SUMIF(Journal!$D$4:$D$52,B17,Journal!$G$4:$G$52)</f>
        <v>0</v>
      </c>
      <c r="D17" s="144"/>
    </row>
    <row r="18" spans="2:4" x14ac:dyDescent="0.25">
      <c r="B18" s="143" t="str">
        <f>Base!I18</f>
        <v>209 schéma de navigation de l'application</v>
      </c>
      <c r="C18" s="138">
        <f>SUMIF(Journal!$D$4:$D$52,B18,Journal!$G$4:$G$52)</f>
        <v>2.430555555555558E-2</v>
      </c>
      <c r="D18" s="144" t="s">
        <v>109</v>
      </c>
    </row>
    <row r="19" spans="2:4" x14ac:dyDescent="0.25">
      <c r="B19" s="143" t="str">
        <f>Base!I19</f>
        <v>210 fonctionnalités du projet</v>
      </c>
      <c r="C19" s="138">
        <f>SUMIF(Journal!$D$4:$D$52,B19,Journal!$G$4:$G$52)</f>
        <v>5.2083333333333315E-2</v>
      </c>
      <c r="D19" s="144" t="s">
        <v>109</v>
      </c>
    </row>
    <row r="20" spans="2:4" x14ac:dyDescent="0.25">
      <c r="B20" s="143" t="str">
        <f>Base!I20</f>
        <v>211 déclaration du cadre du projet</v>
      </c>
      <c r="C20" s="138">
        <f>SUMIF(Journal!$D$4:$D$52,B20,Journal!$G$4:$G$52)</f>
        <v>1.388888888888884E-2</v>
      </c>
      <c r="D20" s="144" t="s">
        <v>109</v>
      </c>
    </row>
    <row r="21" spans="2:4" x14ac:dyDescent="0.25">
      <c r="B21" s="143" t="str">
        <f>Base!I21</f>
        <v>212 risques techniques</v>
      </c>
      <c r="C21" s="138">
        <f>SUMIF(Journal!$D$4:$D$52,B21,Journal!$G$4:$G$52)</f>
        <v>0</v>
      </c>
      <c r="D21" s="144" t="s">
        <v>109</v>
      </c>
    </row>
    <row r="22" spans="2:4" x14ac:dyDescent="0.25">
      <c r="B22" s="143" t="str">
        <f>Base!I22</f>
        <v>213 planification définitive</v>
      </c>
      <c r="C22" s="138">
        <f>SUMIF(Journal!$D$4:$D$52,B22,Journal!$G$4:$G$52)</f>
        <v>0</v>
      </c>
      <c r="D22" s="144"/>
    </row>
    <row r="23" spans="2:4" x14ac:dyDescent="0.25">
      <c r="B23" s="143" t="str">
        <f>Base!I23</f>
        <v>214 recherche sur l'impression depuis l'application</v>
      </c>
      <c r="C23" s="138">
        <f>SUMIF(Journal!$D$4:$D$52,B23,Journal!$G$4:$G$52)</f>
        <v>0</v>
      </c>
      <c r="D23" s="144"/>
    </row>
    <row r="24" spans="2:4" x14ac:dyDescent="0.25">
      <c r="B24" s="143" t="str">
        <f>Base!I24</f>
        <v>215 matériel hardware et software</v>
      </c>
      <c r="C24" s="138">
        <f>SUMIF(Journal!$D$4:$D$52,B24,Journal!$G$4:$G$52)</f>
        <v>0</v>
      </c>
      <c r="D24" s="144"/>
    </row>
    <row r="25" spans="2:4" x14ac:dyDescent="0.25">
      <c r="B25" s="143" t="str">
        <f>Base!I25</f>
        <v>216 -</v>
      </c>
      <c r="C25" s="138">
        <f>SUMIF(Journal!$D$4:$D$52,B25,Journal!$G$4:$G$52)</f>
        <v>0</v>
      </c>
      <c r="D25" s="144"/>
    </row>
    <row r="26" spans="2:4" x14ac:dyDescent="0.25">
      <c r="B26" s="143" t="str">
        <f>Base!I26</f>
        <v>300 mise en place de la BDD</v>
      </c>
      <c r="C26" s="138">
        <f>SUMIF(Journal!$D$4:$D$52,B26,Journal!$G$4:$G$52)</f>
        <v>0</v>
      </c>
      <c r="D26" s="144"/>
    </row>
    <row r="27" spans="2:4" x14ac:dyDescent="0.25">
      <c r="B27" s="143" t="str">
        <f>Base!I27</f>
        <v>301 réaliser la partie graphique de l'application</v>
      </c>
      <c r="C27" s="138">
        <f>SUMIF(Journal!$D$4:$D$52,B27,Journal!$G$4:$G$52)</f>
        <v>0</v>
      </c>
      <c r="D27" s="144"/>
    </row>
    <row r="28" spans="2:4" x14ac:dyDescent="0.25">
      <c r="B28" s="143" t="str">
        <f>Base!I28</f>
        <v>302 mettre en place la connexion à la BDD</v>
      </c>
      <c r="C28" s="138">
        <f>SUMIF(Journal!$D$4:$D$52,B28,Journal!$G$4:$G$52)</f>
        <v>0</v>
      </c>
      <c r="D28" s="144"/>
    </row>
    <row r="29" spans="2:4" x14ac:dyDescent="0.25">
      <c r="B29" s="143" t="str">
        <f>Base!I29</f>
        <v>303 mettre en place la classe "bouteille"</v>
      </c>
      <c r="C29" s="138">
        <f>SUMIF(Journal!$D$4:$D$52,B29,Journal!$G$4:$G$52)</f>
        <v>0</v>
      </c>
      <c r="D29" s="144"/>
    </row>
    <row r="30" spans="2:4" x14ac:dyDescent="0.25">
      <c r="B30" s="143" t="str">
        <f>Base!I30</f>
        <v>304 mettre en place la classe "casier"</v>
      </c>
      <c r="C30" s="138">
        <f>SUMIF(Journal!$D$4:$D$52,B30,Journal!$G$4:$G$52)</f>
        <v>0</v>
      </c>
      <c r="D30" s="144"/>
    </row>
    <row r="31" spans="2:4" x14ac:dyDescent="0.25">
      <c r="B31" s="143" t="str">
        <f>Base!I31</f>
        <v>305 implémenter l'ajout de bouteilles</v>
      </c>
      <c r="C31" s="138">
        <f>SUMIF(Journal!$D$4:$D$52,B31,Journal!$G$4:$G$52)</f>
        <v>0</v>
      </c>
      <c r="D31" s="144"/>
    </row>
    <row r="32" spans="2:4" x14ac:dyDescent="0.25">
      <c r="B32" s="143" t="str">
        <f>Base!I32</f>
        <v>306 implémenter le retrait de bouteilles</v>
      </c>
      <c r="C32" s="138">
        <f>SUMIF(Journal!$D$4:$D$52,B32,Journal!$G$4:$G$52)</f>
        <v>0</v>
      </c>
      <c r="D32" s="144"/>
    </row>
    <row r="33" spans="2:4" x14ac:dyDescent="0.25">
      <c r="B33" s="143" t="str">
        <f>Base!I33</f>
        <v>307 implémenter l'historisation des actions effectuées</v>
      </c>
      <c r="C33" s="138">
        <f>SUMIF(Journal!$D$4:$D$52,B33,Journal!$G$4:$G$52)</f>
        <v>0</v>
      </c>
      <c r="D33" s="144"/>
    </row>
    <row r="34" spans="2:4" x14ac:dyDescent="0.25">
      <c r="B34" s="143" t="str">
        <f>Base!I34</f>
        <v>308 implémenter la recherche par mot-clé</v>
      </c>
      <c r="C34" s="138">
        <f>SUMIF(Journal!$D$4:$D$52,B34,Journal!$G$4:$G$52)</f>
        <v>0</v>
      </c>
      <c r="D34" s="144"/>
    </row>
    <row r="35" spans="2:4" x14ac:dyDescent="0.25">
      <c r="B35" s="143" t="str">
        <f>Base!I35</f>
        <v>309 implémenter la recherche par couleur de robe</v>
      </c>
      <c r="C35" s="138">
        <f>SUMIF(Journal!$D$4:$D$52,B35,Journal!$G$4:$G$52)</f>
        <v>0</v>
      </c>
      <c r="D35" s="144"/>
    </row>
    <row r="36" spans="2:4" x14ac:dyDescent="0.25">
      <c r="B36" s="143" t="str">
        <f>Base!I36</f>
        <v>310 implémenter la recherche par cépage</v>
      </c>
      <c r="C36" s="138">
        <f>SUMIF(Journal!$D$4:$D$52,B36,Journal!$G$4:$G$52)</f>
        <v>0</v>
      </c>
      <c r="D36" s="144"/>
    </row>
    <row r="37" spans="2:4" x14ac:dyDescent="0.25">
      <c r="B37" s="143" t="str">
        <f>Base!I37</f>
        <v>311 implémenter la recherche par producteur</v>
      </c>
      <c r="C37" s="138">
        <f>SUMIF(Journal!$D$4:$D$52,B37,Journal!$G$4:$G$52)</f>
        <v>0</v>
      </c>
      <c r="D37" s="144"/>
    </row>
    <row r="38" spans="2:4" x14ac:dyDescent="0.25">
      <c r="B38" s="143" t="str">
        <f>Base!I38</f>
        <v>312 implémenter la recherche par pays</v>
      </c>
      <c r="C38" s="138">
        <f>SUMIF(Journal!$D$4:$D$52,B38,Journal!$G$4:$G$52)</f>
        <v>0</v>
      </c>
      <c r="D38" s="144"/>
    </row>
    <row r="39" spans="2:4" x14ac:dyDescent="0.25">
      <c r="B39" s="143" t="str">
        <f>Base!I39</f>
        <v>313 implémenter l'export d'une liste triée par PDF</v>
      </c>
      <c r="C39" s="138">
        <f>SUMIF(Journal!$D$4:$D$52,B39,Journal!$G$4:$G$52)</f>
        <v>0</v>
      </c>
      <c r="D39" s="144"/>
    </row>
    <row r="40" spans="2:4" x14ac:dyDescent="0.25">
      <c r="B40" s="143" t="str">
        <f>Base!I40</f>
        <v>314 implémenter l'ajout de casiers</v>
      </c>
      <c r="C40" s="138">
        <f>SUMIF(Journal!$D$4:$D$52,B40,Journal!$G$4:$G$52)</f>
        <v>0</v>
      </c>
      <c r="D40" s="144"/>
    </row>
    <row r="41" spans="2:4" x14ac:dyDescent="0.25">
      <c r="B41" s="143" t="str">
        <f>Base!I41</f>
        <v>315 implémenter le retrait de casiers</v>
      </c>
      <c r="C41" s="138">
        <f>SUMIF(Journal!$D$4:$D$52,B41,Journal!$G$4:$G$52)</f>
        <v>0</v>
      </c>
      <c r="D41" s="144"/>
    </row>
    <row r="42" spans="2:4" x14ac:dyDescent="0.25">
      <c r="B42" s="143" t="str">
        <f>Base!I42</f>
        <v>316 implémenter une alerte sur éléments spécifiques</v>
      </c>
      <c r="C42" s="138">
        <f>SUMIF(Journal!$D$4:$D$52,B42,Journal!$G$4:$G$52)</f>
        <v>0</v>
      </c>
      <c r="D42" s="144"/>
    </row>
    <row r="43" spans="2:4" x14ac:dyDescent="0.25">
      <c r="B43" s="143" t="str">
        <f>Base!I43</f>
        <v>317 implémenter l'impression d'une liste triée</v>
      </c>
      <c r="C43" s="138">
        <f>SUMIF(Journal!$D$4:$D$52,B43,Journal!$G$4:$G$52)</f>
        <v>0</v>
      </c>
      <c r="D43" s="144"/>
    </row>
    <row r="44" spans="2:4" x14ac:dyDescent="0.25">
      <c r="B44" s="143" t="str">
        <f>Base!I44</f>
        <v xml:space="preserve">318 - </v>
      </c>
      <c r="C44" s="138">
        <f>SUMIF(Journal!$D$4:$D$52,B44,Journal!$G$4:$G$52)</f>
        <v>0</v>
      </c>
      <c r="D44" s="144"/>
    </row>
    <row r="45" spans="2:4" x14ac:dyDescent="0.25">
      <c r="B45" s="143" t="str">
        <f>Base!I45</f>
        <v xml:space="preserve">319 - </v>
      </c>
      <c r="C45" s="138">
        <f>SUMIF(Journal!$D$4:$D$52,B45,Journal!$G$4:$G$52)</f>
        <v>0</v>
      </c>
      <c r="D45" s="144"/>
    </row>
    <row r="46" spans="2:4" x14ac:dyDescent="0.25">
      <c r="B46" s="143" t="str">
        <f>Base!I46</f>
        <v xml:space="preserve">320 - </v>
      </c>
      <c r="C46" s="138">
        <f>SUMIF(Journal!$D$4:$D$52,B46,Journal!$G$4:$G$52)</f>
        <v>0</v>
      </c>
      <c r="D46" s="144"/>
    </row>
    <row r="47" spans="2:4" x14ac:dyDescent="0.25">
      <c r="B47" s="143" t="str">
        <f>Base!I47</f>
        <v xml:space="preserve">321 - </v>
      </c>
      <c r="C47" s="138">
        <f>SUMIF(Journal!$D$4:$D$52,B47,Journal!$G$4:$G$52)</f>
        <v>0</v>
      </c>
      <c r="D47" s="144"/>
    </row>
    <row r="48" spans="2:4" x14ac:dyDescent="0.25">
      <c r="B48" s="143" t="str">
        <f>Base!I48</f>
        <v xml:space="preserve">322 - </v>
      </c>
      <c r="C48" s="138">
        <f>SUMIF(Journal!$D$4:$D$52,B48,Journal!$G$4:$G$52)</f>
        <v>0</v>
      </c>
      <c r="D48" s="144"/>
    </row>
    <row r="49" spans="2:4" x14ac:dyDescent="0.25">
      <c r="B49" s="143" t="str">
        <f>Base!I49</f>
        <v>401 mise en forme du rapport de projet</v>
      </c>
      <c r="C49" s="138">
        <f>SUMIF(Journal!$D$4:$D$52,B49,Journal!$G$4:$G$52)</f>
        <v>9.3749999999999889E-2</v>
      </c>
      <c r="D49" s="144" t="s">
        <v>105</v>
      </c>
    </row>
    <row r="50" spans="2:4" x14ac:dyDescent="0.25">
      <c r="B50" s="143" t="str">
        <f>Base!I50</f>
        <v>402 journal de travail</v>
      </c>
      <c r="C50" s="138">
        <f>SUMIF(Journal!$D$4:$D$52,B50,Journal!$G$4:$G$52)</f>
        <v>1.041666666666663E-2</v>
      </c>
      <c r="D50" s="144" t="s">
        <v>105</v>
      </c>
    </row>
    <row r="51" spans="2:4" x14ac:dyDescent="0.25">
      <c r="B51" s="143" t="str">
        <f>Base!I51</f>
        <v>403 procédure d'installation</v>
      </c>
      <c r="C51" s="138">
        <f>SUMIF(Journal!$D$4:$D$52,B51,Journal!$G$4:$G$52)</f>
        <v>0</v>
      </c>
      <c r="D51" s="144"/>
    </row>
    <row r="52" spans="2:4" x14ac:dyDescent="0.25">
      <c r="B52" s="143" t="str">
        <f>Base!I52</f>
        <v>404 stratégie de test</v>
      </c>
      <c r="C52" s="138">
        <f>SUMIF(Journal!$D$4:$D$52,B52,Journal!$G$4:$G$52)</f>
        <v>0</v>
      </c>
      <c r="D52" s="144" t="s">
        <v>109</v>
      </c>
    </row>
    <row r="53" spans="2:4" x14ac:dyDescent="0.25">
      <c r="B53" s="143" t="str">
        <f>Base!I53</f>
        <v>405 mise en place du GitHub</v>
      </c>
      <c r="C53" s="138">
        <f>SUMIF(Journal!$D$4:$D$52,B53,Journal!$G$4:$G$52)</f>
        <v>2.0833333333333315E-2</v>
      </c>
      <c r="D53" s="144" t="s">
        <v>109</v>
      </c>
    </row>
    <row r="54" spans="2:4" x14ac:dyDescent="0.25">
      <c r="B54" s="143" t="str">
        <f>Base!I54</f>
        <v>406 envoi de l'avancée au CdP et aux experts</v>
      </c>
      <c r="C54" s="138">
        <f>SUMIF(Journal!$D$4:$D$52,B54,Journal!$G$4:$G$52)</f>
        <v>6.9444444444445308E-3</v>
      </c>
      <c r="D54" s="144"/>
    </row>
    <row r="55" spans="2:4" x14ac:dyDescent="0.25">
      <c r="B55" s="143" t="str">
        <f>Base!I55</f>
        <v>501 réalisation des tests unitaires</v>
      </c>
      <c r="C55" s="138">
        <f>SUMIF(Journal!$D$4:$D$52,B55,Journal!$G$4:$G$52)</f>
        <v>0</v>
      </c>
      <c r="D55" s="144"/>
    </row>
    <row r="56" spans="2:4" x14ac:dyDescent="0.25">
      <c r="B56" s="143" t="str">
        <f>Base!I56</f>
        <v>502 réalisation des tests d'intégration</v>
      </c>
      <c r="C56" s="138">
        <f>SUMIF(Journal!$D$4:$D$52,B56,Journal!$G$4:$G$52)</f>
        <v>0</v>
      </c>
      <c r="D56" s="144"/>
    </row>
    <row r="57" spans="2:4" x14ac:dyDescent="0.25">
      <c r="B57" s="143" t="str">
        <f>Base!I57</f>
        <v>503 réalisation des tests fonctionnels</v>
      </c>
      <c r="C57" s="138">
        <f>SUMIF(Journal!$D$4:$D$52,B57,Journal!$G$4:$G$52)</f>
        <v>0</v>
      </c>
      <c r="D57" s="144"/>
    </row>
    <row r="58" spans="2:4" x14ac:dyDescent="0.25">
      <c r="B58" s="143" t="str">
        <f>Base!I58</f>
        <v>504 mise en forme des résultats des tests</v>
      </c>
      <c r="C58" s="138">
        <f>SUMIF(Journal!$D$4:$D$52,B58,Journal!$G$4:$G$52)</f>
        <v>0</v>
      </c>
      <c r="D58" s="144"/>
    </row>
    <row r="59" spans="2:4" x14ac:dyDescent="0.25">
      <c r="B59" s="143" t="str">
        <f>Base!I59</f>
        <v>505 -</v>
      </c>
      <c r="C59" s="138">
        <f>SUMIF(Journal!$D$4:$D$52,B59,Journal!$G$4:$G$52)</f>
        <v>0</v>
      </c>
      <c r="D59" s="144"/>
    </row>
    <row r="60" spans="2:4" x14ac:dyDescent="0.25">
      <c r="B60" s="143" t="str">
        <f>Base!I60</f>
        <v>506 -</v>
      </c>
      <c r="C60" s="138">
        <f>SUMIF(Journal!$D$4:$D$52,B60,Journal!$G$4:$G$52)</f>
        <v>0</v>
      </c>
      <c r="D60" s="144"/>
    </row>
    <row r="61" spans="2:4" x14ac:dyDescent="0.25">
      <c r="B61" s="143" t="str">
        <f>Base!I61</f>
        <v>601 réunion avec monsieur C.Egger, CdP</v>
      </c>
      <c r="C61" s="138">
        <f>SUMIF(Journal!$D$4:$D$52,B61,Journal!$G$4:$G$52)</f>
        <v>1.736111111111116E-2</v>
      </c>
      <c r="D61" s="144"/>
    </row>
    <row r="62" spans="2:4" x14ac:dyDescent="0.25">
      <c r="B62" s="143" t="str">
        <f>Base!I62</f>
        <v>602 réunion avec monsieur G.Gruaz, expert 1</v>
      </c>
      <c r="C62" s="138">
        <f>SUMIF(Journal!$D$4:$D$52,B62,Journal!$G$4:$G$52)</f>
        <v>1.736111111111116E-2</v>
      </c>
      <c r="D62" s="144"/>
    </row>
    <row r="63" spans="2:4" x14ac:dyDescent="0.25">
      <c r="B63" s="143" t="str">
        <f>Base!I63</f>
        <v>603 réunion avec monsieur A.Roy, expert 2</v>
      </c>
      <c r="C63" s="138">
        <f>SUMIF(Journal!$D$4:$D$52,B63,Journal!$G$4:$G$52)</f>
        <v>0</v>
      </c>
      <c r="D63" s="144"/>
    </row>
    <row r="64" spans="2:4" x14ac:dyDescent="0.25">
      <c r="B64" s="143" t="str">
        <f>Base!I64</f>
        <v>604 réunion avec une personne extérieure</v>
      </c>
      <c r="C64" s="138">
        <f>SUMIF(Journal!$D$4:$D$52,B64,Journal!$G$4:$G$52)</f>
        <v>0</v>
      </c>
      <c r="D64" s="144"/>
    </row>
    <row r="65" spans="2:4" x14ac:dyDescent="0.25">
      <c r="B65" s="143" t="str">
        <f>Base!I65</f>
        <v>605 -</v>
      </c>
      <c r="C65" s="138">
        <f>SUMIF(Journal!$D$4:$D$52,B65,Journal!$G$4:$G$52)</f>
        <v>0</v>
      </c>
      <c r="D65" s="144"/>
    </row>
    <row r="66" spans="2:4" ht="15.75" thickBot="1" x14ac:dyDescent="0.3">
      <c r="B66" s="145" t="str">
        <f>Base!I66</f>
        <v>606 -</v>
      </c>
      <c r="C66" s="139">
        <f>SUMIF(Journal!$D$4:$D$52,B66,Journal!$G$4:$G$52)</f>
        <v>0</v>
      </c>
      <c r="D66" s="146"/>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Planif initiale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2021-05-04T14:50:19Z</cp:lastPrinted>
  <dcterms:created xsi:type="dcterms:W3CDTF">2015-01-22T08:10:30Z</dcterms:created>
  <dcterms:modified xsi:type="dcterms:W3CDTF">2021-05-05T14:54:53Z</dcterms:modified>
</cp:coreProperties>
</file>