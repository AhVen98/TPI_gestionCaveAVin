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4"/>
  </bookViews>
  <sheets>
    <sheet name="Base" sheetId="7" r:id="rId1"/>
    <sheet name="Planif initiale" sheetId="8" r:id="rId2"/>
    <sheet name="Planif déf" sheetId="11" r:id="rId3"/>
    <sheet name="Journal" sheetId="6" r:id="rId4"/>
    <sheet name="Avancée" sheetId="10" r:id="rId5"/>
  </sheets>
  <definedNames>
    <definedName name="listeTache" localSheetId="0">Base!$I$4:$I$25,Base!$I$26:$I$48,Base!$I$49:$I$66</definedName>
  </definedNames>
  <calcPr calcId="162913"/>
</workbook>
</file>

<file path=xl/calcChain.xml><?xml version="1.0" encoding="utf-8"?>
<calcChain xmlns="http://schemas.openxmlformats.org/spreadsheetml/2006/main">
  <c r="C52" i="6" l="1"/>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G52" i="6" l="1"/>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B79" i="11"/>
  <c r="B78" i="11"/>
  <c r="B77" i="11"/>
  <c r="B76" i="11"/>
  <c r="B75" i="11"/>
  <c r="B74" i="11"/>
  <c r="B72" i="11"/>
  <c r="B71" i="11"/>
  <c r="B70" i="11"/>
  <c r="B69" i="11"/>
  <c r="B68" i="11"/>
  <c r="B67" i="11"/>
  <c r="B66" i="11"/>
  <c r="B64" i="11"/>
  <c r="B63" i="11"/>
  <c r="B62" i="11"/>
  <c r="B61" i="11"/>
  <c r="B60" i="11"/>
  <c r="B59" i="11"/>
  <c r="B58" i="11"/>
  <c r="B56" i="11"/>
  <c r="B55" i="11"/>
  <c r="B54" i="11"/>
  <c r="B53" i="11"/>
  <c r="B52" i="11"/>
  <c r="B51" i="11"/>
  <c r="B50" i="11"/>
  <c r="B49" i="11"/>
  <c r="B48" i="11"/>
  <c r="B47" i="11"/>
  <c r="B46" i="11"/>
  <c r="B45" i="11"/>
  <c r="B44" i="11"/>
  <c r="B43" i="11"/>
  <c r="B42" i="11"/>
  <c r="B41" i="11"/>
  <c r="B40" i="11"/>
  <c r="B39" i="11"/>
  <c r="B38" i="11"/>
  <c r="B37" i="11"/>
  <c r="B36" i="11"/>
  <c r="B35" i="11"/>
  <c r="B34" i="11"/>
  <c r="B33" i="11"/>
  <c r="B31" i="11"/>
  <c r="B30" i="11"/>
  <c r="B29" i="11"/>
  <c r="B28" i="11"/>
  <c r="B27" i="11"/>
  <c r="B26" i="11"/>
  <c r="B25" i="11"/>
  <c r="B24" i="11"/>
  <c r="B23" i="11"/>
  <c r="B22" i="11"/>
  <c r="B21" i="11"/>
  <c r="B20" i="11"/>
  <c r="B19" i="11"/>
  <c r="B18" i="11"/>
  <c r="B17" i="11"/>
  <c r="B16" i="11"/>
  <c r="B15" i="11"/>
  <c r="B13" i="11"/>
  <c r="B12" i="11"/>
  <c r="B11" i="11"/>
  <c r="B10" i="11"/>
  <c r="B9" i="11"/>
  <c r="B8" i="11"/>
  <c r="B7" i="11"/>
  <c r="B5" i="11"/>
  <c r="AG4" i="11"/>
  <c r="C4" i="11"/>
  <c r="AO3" i="11"/>
  <c r="AT3" i="11" s="1"/>
  <c r="BC3" i="11" s="1"/>
  <c r="C3" i="11"/>
  <c r="K3" i="11" s="1"/>
  <c r="P3" i="11" s="1"/>
  <c r="Y3" i="11" s="1"/>
  <c r="B1" i="11"/>
  <c r="G114" i="6" l="1"/>
  <c r="BK3" i="11"/>
  <c r="BP3" i="11" s="1"/>
  <c r="BY3" i="11" s="1"/>
  <c r="CG3" i="11" s="1"/>
  <c r="CL3" i="11" s="1"/>
  <c r="CU3" i="11" s="1"/>
  <c r="DC3" i="11" s="1"/>
  <c r="BC4" i="11"/>
  <c r="D1" i="10"/>
  <c r="B1" i="8"/>
  <c r="DC4" i="11" l="1"/>
  <c r="DK3" i="11"/>
  <c r="DP3" i="11" s="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B15" i="10"/>
  <c r="B16" i="10"/>
  <c r="B17" i="10"/>
  <c r="B18" i="10"/>
  <c r="B19" i="10"/>
  <c r="B20" i="10"/>
  <c r="B21" i="10"/>
  <c r="B22" i="10"/>
  <c r="B23" i="10"/>
  <c r="C23" i="10" s="1"/>
  <c r="B24" i="10"/>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G6" i="6"/>
  <c r="C7" i="10" s="1"/>
  <c r="G8" i="6"/>
  <c r="C4" i="10" s="1"/>
  <c r="G9" i="6"/>
  <c r="C53" i="10" s="1"/>
  <c r="G10" i="6"/>
  <c r="G11" i="6"/>
  <c r="C5" i="10" s="1"/>
  <c r="G12" i="6"/>
  <c r="C6" i="10" s="1"/>
  <c r="G13" i="6"/>
  <c r="G14" i="6"/>
  <c r="G15" i="6"/>
  <c r="G16" i="6"/>
  <c r="G17" i="6"/>
  <c r="G18" i="6"/>
  <c r="G19" i="6"/>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C24" i="10" s="1"/>
  <c r="G48" i="6"/>
  <c r="G49" i="6"/>
  <c r="G50" i="6"/>
  <c r="G51" i="6"/>
  <c r="C22" i="10" s="1"/>
  <c r="G4" i="6"/>
  <c r="C62" i="10" s="1"/>
  <c r="C11" i="10" l="1"/>
  <c r="C61" i="10"/>
  <c r="C64" i="10"/>
  <c r="C17" i="10"/>
  <c r="C14" i="10"/>
  <c r="C16" i="10"/>
  <c r="C15" i="10"/>
  <c r="C49" i="10"/>
  <c r="C13" i="10"/>
  <c r="C19" i="10"/>
  <c r="C50" i="10"/>
  <c r="C10" i="10"/>
  <c r="C3" i="8"/>
  <c r="C4" i="8" s="1"/>
  <c r="H61" i="7"/>
  <c r="B72" i="8" s="1"/>
  <c r="H55" i="7"/>
  <c r="H49" i="7"/>
  <c r="H26" i="7"/>
  <c r="H10" i="7"/>
  <c r="H4" i="7"/>
  <c r="G118" i="6" l="1"/>
  <c r="G117" i="6"/>
  <c r="G116" i="6"/>
  <c r="G115" i="6"/>
  <c r="G119"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<sst xmlns="http://schemas.openxmlformats.org/spreadsheetml/2006/main" count="324" uniqueCount="202">
  <si>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</si>
  <si>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</si>
  <si>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</si>
  <si>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</si>
  <si>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</si>
  <si>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</si>
  <si>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</si>
  <si>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</si>
  <si>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</si>
  <si>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</si>
  <si>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</si>
  <si>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</si>
  <si>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</si>
  <si>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</si>
  <si>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</si>
  <si>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</si>
  <si>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</si>
  <si>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</si>
  <si>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</si>
  <si>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</si>
  <si>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</si>
  <si>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</si>
  <si>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</si>
  <si>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</si>
  <si>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</si>
  <si>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</si>
  <si>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</si>
  <si>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</si>
  <si>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</si>
  <si>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</si>
  <si>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</si>
  <si>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</si>
  <si>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</si>
  <si>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</si>
  <si>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</si>
  <si>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</si>
  <si>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</si>
  <si>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</si>
  <si>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</si>
  <si>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</si>
  <si>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</si>
  <si>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</si>
  <si>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</si>
  <si>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</si>
  <si>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 xml:space="preserve">heures effectuées totales : </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</si>
  <si>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</si>
  <si>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</si>
  <si>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</si>
  <si>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</si>
  <si>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</si>
  <si>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</si>
  <si>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</si>
  <si>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</si>
  <si>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</si>
  <si>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</si>
  <si>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</si>
  <si>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</si>
  <si>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</si>
  <si>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</si>
  <si>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</si>
  <si>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</si>
  <si>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</si>
  <si>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</si>
  <si>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</si>
  <si>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</si>
  <si>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603 réunion avec monsieur A.Roy, expert 2</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</si>
  <si>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</si>
  <si>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</si>
  <si>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</si>
  <si>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</si>
  <si>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</si>
  <si>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</si>
  <si>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</si>
  <si>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</si>
  <si>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</si>
  <si>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</si>
  <si>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</si>
  <si>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</si>
  <si>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</si>
  <si>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</si>
  <si>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</si>
  <si>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</si>
  <si>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</si>
  <si>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</si>
  <si>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</si>
  <si>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</si>
  <si>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</si>
  <si>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</si>
  <si>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</si>
  <si>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</si>
  <si>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</si>
  <si>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</si>
  <si>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</si>
  <si>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</si>
  <si>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</si>
  <si>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</si>
  <si>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A.Roy</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</si>
  <si>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</si>
  <si>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</si>
  <si>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</si>
  <si>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</si>
  <si>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</si>
  <si>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</si>
  <si>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</si>
  <si>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</si>
  <si>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</si>
  <si>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</si>
  <si>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</si>
  <si>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</si>
  <si>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</si>
  <si>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</si>
  <si>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</si>
  <si>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</si>
  <si>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</si>
  <si>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</si>
  <si>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</si>
  <si>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</si>
  <si>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</si>
  <si>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</si>
  <si>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</si>
  <si>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</si>
  <si>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</si>
  <si>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</si>
  <si>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</si>
  <si>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</si>
  <si>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</si>
  <si>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</si>
  <si>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</si>
  <si>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</si>
  <si>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</si>
  <si>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</si>
  <si>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</si>
  <si>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</si>
  <si>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</si>
  <si>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</si>
  <si>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</si>
  <si>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</si>
  <si>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</si>
  <si>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</si>
  <si>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</si>
  <si>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</si>
  <si>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</si>
  <si>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</si>
  <si>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</si>
  <si>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</si>
  <si>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</si>
  <si>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</si>
  <si>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</si>
  <si>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</si>
  <si>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</si>
  <si>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</si>
  <si>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</si>
  <si>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</si>
  <si>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</si>
  <si>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</si>
  <si>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</si>
  <si>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</si>
  <si>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</si>
  <si>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</si>
  <si>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</si>
  <si>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</si>
  <si>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</si>
  <si>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</si>
  <si>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</si>
  <si>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</si>
  <si>
    <t>création de la base de données : schéma, tables, clés, relations, …</t>
  </si>
  <si>
    <t>génération de données afin de remplir la BDD</t>
  </si>
  <si>
    <t>méthodologie d'insertion des données mises en place et testée -&gt; cela fonctionne</t>
  </si>
  <si>
    <t>rédaction de la méthodologie de tests des scripts d'insertion de données</t>
  </si>
  <si>
    <t>réalisation de la partie visuelle de base (page d'accueil) et de la gestion des bouteilles, avec formulaires …</t>
  </si>
  <si>
    <t>discussion avec X.Carrel pour avoir un gain de temps par la suite, sur la possibilité de dupliquer un WinForm et la méthodologie associée</t>
  </si>
  <si>
    <t>tests de liaison entre les visuels déjà créés, afin de pouvoir passer d'un onglet à l'autre
-&gt; il est possible de passer de la page principale à la gestion de bouteilles. L'inverse n'est pas encore possible malheureusement</t>
  </si>
  <si>
    <t>rédaction des discussions manquantes : F.Andolfatto jeudi 6 mai et X.Carrel lundi 10 mai dans le rapport de projet, ajout du site de génération de données aux sources</t>
  </si>
  <si>
    <t>réalisation des visuels manquants. Actuellement, les fonctionnalités "imprimer" et "exporter en PDF" ne sont liée à aucune feuille -&gt; réflexion nécessaire sur la meilleure manière de l'implémenter</t>
  </si>
  <si>
    <t>afin de diminuer le nombre d'ouverture et fermeture de connexion par rapport au pré-TPI, la connexion est mise en place au lancement de l'application et se ferme à l'arrêt de l'application. La mise en place du lien entre les deux projets ne s'effectuent pour le moment pas et impossible d'en trouver la raison</t>
  </si>
  <si>
    <t>rédaction des problèmes rencontrés,avec explication du quoi, quand, pourquoi, comment le résoudre, aide nécessaire</t>
  </si>
  <si>
    <t>création de la classe "bouteilles", avec ses attributs</t>
  </si>
  <si>
    <t>essai de débug du souci de référence de classe -&gt; aucun succès
mail envoyé à F.Andolfatto, afin de ne pas perdre 3 jours sur ce problème</t>
  </si>
  <si>
    <t>mise en place de la partie code du github, maintenant que la réalisation a été officiellement lancée</t>
  </si>
  <si>
    <t>correction de l'erreur de connexion à la BDD -&gt; la classe est désormais reconnue</t>
  </si>
  <si>
    <t>320 génération des requêtes d'affichage de données</t>
  </si>
  <si>
    <t>mise en place de l'affichage des bouteilles sur l'application, à l'aide de requêtes SQL
la BDD est encore vide pour le moment, mais les colonnes s'affichent correctement
-&gt; reste à gérer la largeur des colonnes, mais c'est du visuel</t>
  </si>
  <si>
    <t>avec des données bidons -&gt; test de l'affichage de données : ne fonctionne pas pour le moment, il doit rester un souci quelque part</t>
  </si>
  <si>
    <t>mise en place de la classe casier, avec affichage des données sur le visuel -&gt; tout fonctionne, les données s'affichent correctement</t>
  </si>
  <si>
    <t>recherche sur la façon de résoudre le problème de récupération de liste dans une liste (voir "problèmes rencontrés et résolution" dans le rapport)</t>
  </si>
  <si>
    <t>discussion avec X.Carrel concernant le problème de génération de liste de cépages -&gt; solution trouvée : faire une requête supplémentaire pour récupérer la liste de cépages associée à chaque bouteille par ID</t>
  </si>
  <si>
    <t>réalisation de la correction discutée et partiellement mise en place avec X.Carrel
-&gt; le passage de liste en paramètre pose souci, donc les listes sont concaténées avant
manque encore de récupérer les données des cépages depuis la base de données, pour le moment il s'agit d'une liste fixe fournie à l'application</t>
  </si>
  <si>
    <t>création de la classe "alerte", avec attributs et getter
commencement de la requête pour récupérer les données liées</t>
  </si>
  <si>
    <t>réunion avec le C.Egger, afin de discuter de l'avancée du projet et des points non clairs 
-&gt; préciser le fonctionnement des tables logs et casiers, ainsi que la raison du choix
-&gt; refaire les captures d'écran de la planification initiale et définitive, en incluant les jours</t>
  </si>
  <si>
    <t>complétion de la requête permettant d'afficher les données liées aux alertes : la table est encore vide, pas possible de tester pour le moment</t>
  </si>
  <si>
    <t>création de la classe "logs", avec attributs et getters</t>
  </si>
  <si>
    <t>création de la requête d'affichage des données liées aux alertes
suite de la réflexion sur comment corriger le problème des cépages : aucune solution ne fonctionne pour le moment, mais au moins la requête est fonctionnelle</t>
  </si>
  <si>
    <t>recherche et tests sur la manière de faire fonctionner le bouton "retour à l'accueil" -&gt; .Show, .Enabled = true, méthode appelée ...=&gt; aucune solution ne marche pour le moment</t>
  </si>
  <si>
    <t>gestion de l'affichage du formulaire d'ajout ou de retrait de bouteilles, selon radiobutton -&gt; toujours des bugs
liaison des données écrites à des variables pour les envoyer lorsque le bouton est cliqué -&gt; le formulaire s'affichant mal, c'est fait partiellement</t>
  </si>
  <si>
    <t>en cliquant sur le bouton radio "ajouter une bouteille", le bon formulaire s'affiche
la gestion du drop down s'effectue correctement -&gt; implémenté pour les producteurs, grâce à StackOverflow</t>
  </si>
  <si>
    <t>mise en place des autres listes déroulantes de l'ajout de bouteilles (couleur, cépages, casiers, volumes)
la liste de volumes est une liste arbitraire, avec les quantités les plus courantes pour des bouteilles de vin
création des messages d'erreur si le type de données est incorrecte</t>
  </si>
  <si>
    <t>mise en forme afin de s'assurer que toutes les données nécessaires soient présentes</t>
  </si>
  <si>
    <t>discussion avec X.Carrel, sur la possibilité de simplifier / raccourcir le code 
-&gt; au passage, aide sur un point technique -&gt; une liste déroulante non sélectionnée, pour vérifier si quelque chose est sélectionné, utiliser "SelectedIndex" comme attribut</t>
  </si>
  <si>
    <t>modification selon discussion avec X.Carrel  
fin de la mise en place de la vérification de données
même si cela a pris plus de temps que prévu, il manque uniquement les requêtes spécifiques aux différents cas pour que l'ajout soit fonctionnel</t>
  </si>
  <si>
    <t>après beaucoup de requêtes rédigées, l'ajout d'objet est enfin complet et exhaustif
presque tous les cas sont gérés, avec les valeurs qui sont possibles d'être à 0 ou pas
cela a pris plus de temps que prévu, mais a été complété
reste à gérer le cas où la bouteille existe déjà dans la BDD</t>
  </si>
  <si>
    <t>il est possible d'enlever des bouteilles à la BDD
manque la vérification si la bouteille existe réellement ou pas dans la BDD</t>
  </si>
  <si>
    <t>début de la mise en place de la recherche par mot-clé dans l'application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</si>
</sst>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1"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38">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1" fillId="0" borderId="3" xfId="0" applyFont="1" applyFill="1" applyBorder="1" applyAlignment="1">
      <alignment horizontal="center" vertical="center"/>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9" fillId="3" borderId="0" xfId="0" applyFont="1" applyFill="1" applyAlignment="1" applyProtection="1">
      <alignment horizontal="left"/>
    </xf>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6" fontId="0" fillId="0" borderId="0" xfId="0" applyNumberFormat="1" applyAlignment="1">
      <alignment horizontal="right" vertical="center"/>
    </xf>
    <xf numFmtId="168" fontId="0" fillId="0" borderId="0" xfId="0" applyNumberFormat="1" applyAlignment="1">
      <alignment horizontal="center" vertical="center"/>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xf numFmtId="14" fontId="0" fillId="0" borderId="0" xfId="0" applyNumberFormat="1" applyAlignment="1">
      <alignment horizontal="left" vertical="center" wrapText="1"/>
    </xf>
    <xf numFmtId="0" fontId="1" fillId="0" borderId="3" xfId="0" applyFont="1" applyBorder="1" applyAlignment="1">
      <alignment horizontal="left" vertical="center"/>
    </xf>
    <xf numFmtId="0" fontId="0" fillId="0" borderId="10" xfId="0" applyBorder="1" applyAlignment="1" applyProtection="1">
      <alignment horizontal="left" vertical="center" wrapText="1"/>
      <protection locked="0"/>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10"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0" fontId="5" fillId="0" borderId="42" xfId="0" applyNumberFormat="1" applyFont="1" applyBorder="1" applyAlignment="1">
      <alignment horizontal="center" vertical="center"/>
    </xf>
    <xf numFmtId="0" fontId="5" fillId="0" borderId="19"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D34" zoomScale="115" zoomScaleNormal="115" workbookViewId="0">
      <selection activeCell="I47" sqref="I47"/>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39" t="s">
        <v>23</v>
      </c>
      <c r="D3" s="139"/>
      <c r="E3" s="11"/>
      <c r="F3" s="10"/>
      <c r="G3" s="208" t="s">
        <v>11</v>
      </c>
      <c r="H3" s="208"/>
      <c r="I3" s="10" t="s">
        <v>5</v>
      </c>
      <c r="J3" s="10"/>
    </row>
    <row r="4" spans="1:10" x14ac:dyDescent="0.25">
      <c r="A4" s="8"/>
      <c r="B4" s="8"/>
      <c r="C4" s="8"/>
      <c r="D4" s="8"/>
      <c r="E4" s="8"/>
      <c r="F4" s="8"/>
      <c r="G4" s="85">
        <v>1</v>
      </c>
      <c r="H4" s="131" t="str">
        <f>D11</f>
        <v>Analyse</v>
      </c>
      <c r="I4" s="151" t="s">
        <v>53</v>
      </c>
      <c r="J4" s="89"/>
    </row>
    <row r="5" spans="1:10" ht="18.75" x14ac:dyDescent="0.3">
      <c r="A5" s="8"/>
      <c r="B5" s="10" t="s">
        <v>40</v>
      </c>
      <c r="C5" s="10" t="s">
        <v>2</v>
      </c>
      <c r="D5" s="10" t="s">
        <v>3</v>
      </c>
      <c r="E5" s="8"/>
      <c r="F5" s="8"/>
      <c r="G5" s="71"/>
      <c r="H5" s="86"/>
      <c r="I5" s="152" t="s">
        <v>79</v>
      </c>
      <c r="J5" s="89"/>
    </row>
    <row r="6" spans="1:10" x14ac:dyDescent="0.25">
      <c r="A6" s="8"/>
      <c r="B6" s="5">
        <v>44319</v>
      </c>
      <c r="C6" s="6" t="s">
        <v>6</v>
      </c>
      <c r="D6" s="7" t="s">
        <v>7</v>
      </c>
      <c r="E6" s="8"/>
      <c r="F6" s="8"/>
      <c r="G6" s="71"/>
      <c r="H6" s="86"/>
      <c r="I6" s="152" t="s">
        <v>98</v>
      </c>
      <c r="J6" s="89"/>
    </row>
    <row r="7" spans="1:10" ht="18.75" x14ac:dyDescent="0.3">
      <c r="A7" s="8"/>
      <c r="B7" s="10" t="s">
        <v>39</v>
      </c>
      <c r="C7" s="74"/>
      <c r="D7" s="10" t="s">
        <v>27</v>
      </c>
      <c r="E7" s="8"/>
      <c r="F7" s="8"/>
      <c r="G7" s="71"/>
      <c r="H7" s="86"/>
      <c r="I7" s="152" t="s">
        <v>97</v>
      </c>
      <c r="J7" s="89"/>
    </row>
    <row r="8" spans="1:10" x14ac:dyDescent="0.25">
      <c r="A8" s="8"/>
      <c r="B8" s="5">
        <v>44350</v>
      </c>
      <c r="C8" s="74"/>
      <c r="D8" s="134" t="s">
        <v>41</v>
      </c>
      <c r="E8" s="8"/>
      <c r="F8" s="8"/>
      <c r="G8" s="71"/>
      <c r="H8" s="86"/>
      <c r="I8" s="152" t="s">
        <v>99</v>
      </c>
      <c r="J8" s="89"/>
    </row>
    <row r="9" spans="1:10" x14ac:dyDescent="0.25">
      <c r="A9" s="8"/>
      <c r="B9" s="8"/>
      <c r="C9" s="8"/>
      <c r="D9" s="8"/>
      <c r="E9" s="8"/>
      <c r="F9" s="8"/>
      <c r="G9" s="71"/>
      <c r="H9" s="86"/>
      <c r="I9" s="153" t="s">
        <v>77</v>
      </c>
      <c r="J9" s="89"/>
    </row>
    <row r="10" spans="1:10" ht="18.75" x14ac:dyDescent="0.3">
      <c r="A10" s="8"/>
      <c r="B10" s="8"/>
      <c r="C10" s="209" t="s">
        <v>16</v>
      </c>
      <c r="D10" s="209"/>
      <c r="E10" s="8"/>
      <c r="F10" s="8"/>
      <c r="G10" s="85">
        <v>2</v>
      </c>
      <c r="H10" s="131" t="str">
        <f>D12</f>
        <v>Conception</v>
      </c>
      <c r="I10" s="82" t="s">
        <v>54</v>
      </c>
      <c r="J10" s="89"/>
    </row>
    <row r="11" spans="1:10" x14ac:dyDescent="0.25">
      <c r="A11" s="8"/>
      <c r="B11" s="8"/>
      <c r="C11" s="133">
        <v>1</v>
      </c>
      <c r="D11" s="75" t="s">
        <v>17</v>
      </c>
      <c r="E11" s="8"/>
      <c r="F11" s="8"/>
      <c r="G11" s="71"/>
      <c r="H11" s="87"/>
      <c r="I11" s="81" t="s">
        <v>56</v>
      </c>
      <c r="J11" s="89"/>
    </row>
    <row r="12" spans="1:10" x14ac:dyDescent="0.25">
      <c r="A12" s="8"/>
      <c r="B12" s="8"/>
      <c r="C12" s="133">
        <v>2</v>
      </c>
      <c r="D12" s="75" t="s">
        <v>18</v>
      </c>
      <c r="E12" s="8"/>
      <c r="F12" s="8"/>
      <c r="G12" s="71"/>
      <c r="H12" s="87"/>
      <c r="I12" s="81" t="s">
        <v>55</v>
      </c>
      <c r="J12" s="89"/>
    </row>
    <row r="13" spans="1:10" x14ac:dyDescent="0.25">
      <c r="A13" s="8"/>
      <c r="B13" s="8"/>
      <c r="C13" s="77">
        <v>3</v>
      </c>
      <c r="D13" s="76" t="s">
        <v>19</v>
      </c>
      <c r="E13" s="8"/>
      <c r="F13" s="8"/>
      <c r="G13" s="71"/>
      <c r="H13" s="87"/>
      <c r="I13" s="81" t="s">
        <v>57</v>
      </c>
      <c r="J13" s="89"/>
    </row>
    <row r="14" spans="1:10" x14ac:dyDescent="0.25">
      <c r="A14" s="8"/>
      <c r="B14" s="8"/>
      <c r="C14" s="77">
        <v>4</v>
      </c>
      <c r="D14" s="76" t="s">
        <v>20</v>
      </c>
      <c r="E14" s="8"/>
      <c r="F14" s="8"/>
      <c r="G14" s="71"/>
      <c r="H14" s="87"/>
      <c r="I14" s="81" t="s">
        <v>58</v>
      </c>
      <c r="J14" s="89"/>
    </row>
    <row r="15" spans="1:10" x14ac:dyDescent="0.25">
      <c r="A15" s="8"/>
      <c r="B15" s="8"/>
      <c r="C15" s="77">
        <v>5</v>
      </c>
      <c r="D15" s="76" t="s">
        <v>43</v>
      </c>
      <c r="E15" s="8"/>
      <c r="F15" s="8"/>
      <c r="G15" s="71"/>
      <c r="H15" s="87"/>
      <c r="I15" s="81" t="s">
        <v>59</v>
      </c>
      <c r="J15" s="89"/>
    </row>
    <row r="16" spans="1:10" x14ac:dyDescent="0.25">
      <c r="A16" s="8"/>
      <c r="B16" s="8"/>
      <c r="C16" s="77">
        <v>6</v>
      </c>
      <c r="D16" s="76" t="s">
        <v>36</v>
      </c>
      <c r="E16" s="8"/>
      <c r="F16" s="8"/>
      <c r="G16" s="71"/>
      <c r="H16" s="87"/>
      <c r="I16" s="81" t="s">
        <v>60</v>
      </c>
      <c r="J16" s="74"/>
    </row>
    <row r="17" spans="1:10" x14ac:dyDescent="0.25">
      <c r="A17" s="8"/>
      <c r="B17" s="114"/>
      <c r="C17" s="114"/>
      <c r="D17" s="8"/>
      <c r="E17" s="8"/>
      <c r="F17" s="8"/>
      <c r="G17" s="71"/>
      <c r="H17" s="86"/>
      <c r="I17" s="81" t="s">
        <v>61</v>
      </c>
      <c r="J17" s="74"/>
    </row>
    <row r="18" spans="1:10" ht="15.75" x14ac:dyDescent="0.25">
      <c r="A18" s="8"/>
      <c r="B18" s="210" t="s">
        <v>35</v>
      </c>
      <c r="C18" s="210"/>
      <c r="D18" s="118"/>
      <c r="E18" s="108"/>
      <c r="F18" s="8"/>
      <c r="G18" s="71"/>
      <c r="H18" s="84"/>
      <c r="I18" s="3" t="s">
        <v>62</v>
      </c>
      <c r="J18" s="74"/>
    </row>
    <row r="19" spans="1:10" x14ac:dyDescent="0.25">
      <c r="A19" s="8"/>
      <c r="B19" s="119" t="s">
        <v>31</v>
      </c>
      <c r="C19" s="103" t="s">
        <v>29</v>
      </c>
      <c r="D19" s="116"/>
      <c r="E19" s="117"/>
      <c r="F19" s="8"/>
      <c r="G19" s="71"/>
      <c r="H19" s="86"/>
      <c r="I19" s="81" t="s">
        <v>71</v>
      </c>
      <c r="J19" s="74"/>
    </row>
    <row r="20" spans="1:10" x14ac:dyDescent="0.25">
      <c r="A20" s="8"/>
      <c r="B20" s="119" t="s">
        <v>30</v>
      </c>
      <c r="C20" s="120" t="s">
        <v>95</v>
      </c>
      <c r="D20" s="116"/>
      <c r="E20" s="78"/>
      <c r="F20" s="8"/>
      <c r="G20" s="71"/>
      <c r="H20" s="86"/>
      <c r="I20" s="81" t="s">
        <v>78</v>
      </c>
      <c r="J20" s="74"/>
    </row>
    <row r="21" spans="1:10" x14ac:dyDescent="0.25">
      <c r="A21" s="8"/>
      <c r="B21" s="119" t="s">
        <v>32</v>
      </c>
      <c r="C21" s="120" t="s">
        <v>96</v>
      </c>
      <c r="D21" s="116"/>
      <c r="E21" s="78"/>
      <c r="F21" s="8"/>
      <c r="G21" s="71"/>
      <c r="H21" s="87"/>
      <c r="I21" s="81" t="s">
        <v>141</v>
      </c>
      <c r="J21" s="74"/>
    </row>
    <row r="22" spans="1:10" x14ac:dyDescent="0.25">
      <c r="A22" s="8"/>
      <c r="B22" s="119" t="s">
        <v>33</v>
      </c>
      <c r="C22" s="103" t="s">
        <v>150</v>
      </c>
      <c r="D22" s="108"/>
      <c r="E22" s="115"/>
      <c r="F22" s="8"/>
      <c r="G22" s="71"/>
      <c r="H22" s="87"/>
      <c r="I22" s="81" t="s">
        <v>100</v>
      </c>
      <c r="J22" s="74"/>
    </row>
    <row r="23" spans="1:10" ht="15.75" x14ac:dyDescent="0.25">
      <c r="A23" s="8"/>
      <c r="B23" s="119" t="s">
        <v>34</v>
      </c>
      <c r="C23" s="140"/>
      <c r="D23" s="108"/>
      <c r="E23" s="8"/>
      <c r="F23" s="8"/>
      <c r="G23" s="71"/>
      <c r="H23" s="87"/>
      <c r="I23" s="81" t="s">
        <v>111</v>
      </c>
      <c r="J23" s="74"/>
    </row>
    <row r="24" spans="1:10" x14ac:dyDescent="0.25">
      <c r="A24" s="8"/>
      <c r="B24" s="8"/>
      <c r="C24" s="121"/>
      <c r="D24" s="108"/>
      <c r="E24" s="8"/>
      <c r="F24" s="8"/>
      <c r="G24" s="71"/>
      <c r="H24" s="87"/>
      <c r="I24" s="81" t="s">
        <v>145</v>
      </c>
      <c r="J24" s="74"/>
    </row>
    <row r="25" spans="1:10" x14ac:dyDescent="0.25">
      <c r="A25" s="8"/>
      <c r="B25" s="8"/>
      <c r="C25" s="120"/>
      <c r="D25" s="8"/>
      <c r="E25" s="8"/>
      <c r="F25" s="8"/>
      <c r="G25" s="72"/>
      <c r="H25" s="88"/>
      <c r="I25" s="83" t="s">
        <v>24</v>
      </c>
      <c r="J25" s="74"/>
    </row>
    <row r="26" spans="1:10" x14ac:dyDescent="0.25">
      <c r="A26" s="8"/>
      <c r="B26" s="119"/>
      <c r="C26" s="120"/>
      <c r="D26" s="8"/>
      <c r="E26" s="8"/>
      <c r="F26" s="8"/>
      <c r="G26" s="85">
        <v>3</v>
      </c>
      <c r="H26" s="131" t="str">
        <f>D13</f>
        <v>Implémentation</v>
      </c>
      <c r="I26" s="82" t="s">
        <v>74</v>
      </c>
      <c r="J26" s="8"/>
    </row>
    <row r="27" spans="1:10" x14ac:dyDescent="0.25">
      <c r="A27" s="8"/>
      <c r="B27" s="8"/>
      <c r="C27" s="8"/>
      <c r="D27" s="8"/>
      <c r="E27" s="8"/>
      <c r="F27" s="8"/>
      <c r="G27" s="71"/>
      <c r="H27" s="87"/>
      <c r="I27" s="80" t="s">
        <v>75</v>
      </c>
      <c r="J27" s="8"/>
    </row>
    <row r="28" spans="1:10" x14ac:dyDescent="0.25">
      <c r="A28" s="8"/>
      <c r="B28" s="8"/>
      <c r="C28" s="8"/>
      <c r="D28" s="8"/>
      <c r="E28" s="8"/>
      <c r="F28" s="8"/>
      <c r="G28" s="71"/>
      <c r="H28" s="87"/>
      <c r="I28" s="81" t="s">
        <v>80</v>
      </c>
      <c r="J28" s="8"/>
    </row>
    <row r="29" spans="1:10" x14ac:dyDescent="0.25">
      <c r="A29" s="8"/>
      <c r="B29" s="8"/>
      <c r="C29" s="8"/>
      <c r="D29" s="8"/>
      <c r="E29" s="8"/>
      <c r="F29" s="8"/>
      <c r="G29" s="71"/>
      <c r="H29" s="87"/>
      <c r="I29" s="80" t="s">
        <v>81</v>
      </c>
      <c r="J29" s="8"/>
    </row>
    <row r="30" spans="1:10" x14ac:dyDescent="0.25">
      <c r="A30" s="8"/>
      <c r="B30" s="8"/>
      <c r="C30" s="8"/>
      <c r="D30" s="8"/>
      <c r="E30" s="8"/>
      <c r="F30" s="8"/>
      <c r="G30" s="71"/>
      <c r="H30" s="87"/>
      <c r="I30" s="81" t="s">
        <v>82</v>
      </c>
      <c r="J30" s="8"/>
    </row>
    <row r="31" spans="1:10" x14ac:dyDescent="0.25">
      <c r="A31" s="8"/>
      <c r="B31" s="8"/>
      <c r="C31" s="8"/>
      <c r="D31" s="8"/>
      <c r="E31" s="8"/>
      <c r="F31" s="8"/>
      <c r="G31" s="71"/>
      <c r="H31" s="87"/>
      <c r="I31" s="80" t="s">
        <v>83</v>
      </c>
      <c r="J31" s="8"/>
    </row>
    <row r="32" spans="1:10" x14ac:dyDescent="0.25">
      <c r="A32" s="8"/>
      <c r="B32" s="8"/>
      <c r="C32" s="8"/>
      <c r="D32" s="8"/>
      <c r="E32" s="8"/>
      <c r="F32" s="8"/>
      <c r="G32" s="71"/>
      <c r="H32" s="87"/>
      <c r="I32" s="81" t="s">
        <v>84</v>
      </c>
      <c r="J32" s="8"/>
    </row>
    <row r="33" spans="1:10" x14ac:dyDescent="0.25">
      <c r="A33" s="8"/>
      <c r="B33" s="8"/>
      <c r="C33" s="8"/>
      <c r="D33" s="8"/>
      <c r="E33" s="8"/>
      <c r="F33" s="8"/>
      <c r="G33" s="71"/>
      <c r="H33" s="87"/>
      <c r="I33" s="80" t="s">
        <v>85</v>
      </c>
      <c r="J33" s="8"/>
    </row>
    <row r="34" spans="1:10" x14ac:dyDescent="0.25">
      <c r="A34" s="8"/>
      <c r="B34" s="8"/>
      <c r="C34" s="8"/>
      <c r="D34" s="8"/>
      <c r="E34" s="8"/>
      <c r="F34" s="8"/>
      <c r="G34" s="71"/>
      <c r="H34" s="87"/>
      <c r="I34" s="81" t="s">
        <v>86</v>
      </c>
      <c r="J34" s="8"/>
    </row>
    <row r="35" spans="1:10" x14ac:dyDescent="0.25">
      <c r="A35" s="8"/>
      <c r="B35" s="8"/>
      <c r="C35" s="8"/>
      <c r="D35" s="8"/>
      <c r="E35" s="8"/>
      <c r="F35" s="8"/>
      <c r="G35" s="71"/>
      <c r="H35" s="87"/>
      <c r="I35" s="80" t="s">
        <v>87</v>
      </c>
      <c r="J35" s="8"/>
    </row>
    <row r="36" spans="1:10" x14ac:dyDescent="0.25">
      <c r="A36" s="8"/>
      <c r="B36" s="8"/>
      <c r="C36" s="8"/>
      <c r="D36" s="8"/>
      <c r="E36" s="8"/>
      <c r="F36" s="8"/>
      <c r="G36" s="71"/>
      <c r="H36" s="90"/>
      <c r="I36" s="81" t="s">
        <v>88</v>
      </c>
      <c r="J36" s="8"/>
    </row>
    <row r="37" spans="1:10" x14ac:dyDescent="0.25">
      <c r="A37" s="8"/>
      <c r="B37" s="8"/>
      <c r="C37" s="8"/>
      <c r="D37" s="8"/>
      <c r="E37" s="8"/>
      <c r="F37" s="8"/>
      <c r="G37" s="91"/>
      <c r="H37" s="92"/>
      <c r="I37" s="80" t="s">
        <v>136</v>
      </c>
      <c r="J37" s="8"/>
    </row>
    <row r="38" spans="1:10" x14ac:dyDescent="0.25">
      <c r="A38" s="8"/>
      <c r="B38" s="8"/>
      <c r="C38" s="8"/>
      <c r="D38" s="8"/>
      <c r="E38" s="8"/>
      <c r="F38" s="8"/>
      <c r="G38" s="91"/>
      <c r="H38" s="92"/>
      <c r="I38" s="81" t="s">
        <v>89</v>
      </c>
      <c r="J38" s="8"/>
    </row>
    <row r="39" spans="1:10" x14ac:dyDescent="0.25">
      <c r="A39" s="8"/>
      <c r="B39" s="8"/>
      <c r="C39" s="8"/>
      <c r="D39" s="8"/>
      <c r="E39" s="8"/>
      <c r="F39" s="8"/>
      <c r="G39" s="73"/>
      <c r="H39" s="93"/>
      <c r="I39" s="80" t="s">
        <v>90</v>
      </c>
      <c r="J39" s="8"/>
    </row>
    <row r="40" spans="1:10" x14ac:dyDescent="0.25">
      <c r="A40" s="8"/>
      <c r="B40" s="8"/>
      <c r="C40" s="8"/>
      <c r="D40" s="8"/>
      <c r="E40" s="8"/>
      <c r="F40" s="8"/>
      <c r="G40" s="73"/>
      <c r="H40" s="93"/>
      <c r="I40" s="81" t="s">
        <v>91</v>
      </c>
      <c r="J40" s="8"/>
    </row>
    <row r="41" spans="1:10" x14ac:dyDescent="0.25">
      <c r="A41" s="8"/>
      <c r="B41" s="8"/>
      <c r="C41" s="8"/>
      <c r="D41" s="8"/>
      <c r="E41" s="8"/>
      <c r="F41" s="8"/>
      <c r="G41" s="73"/>
      <c r="H41" s="93"/>
      <c r="I41" s="80" t="s">
        <v>92</v>
      </c>
      <c r="J41" s="8"/>
    </row>
    <row r="42" spans="1:10" x14ac:dyDescent="0.25">
      <c r="A42" s="8"/>
      <c r="B42" s="8"/>
      <c r="C42" s="8"/>
      <c r="D42" s="8"/>
      <c r="E42" s="8"/>
      <c r="F42" s="8"/>
      <c r="G42" s="73"/>
      <c r="H42" s="93"/>
      <c r="I42" s="81" t="s">
        <v>93</v>
      </c>
      <c r="J42" s="8"/>
    </row>
    <row r="43" spans="1:10" x14ac:dyDescent="0.25">
      <c r="A43" s="8"/>
      <c r="B43" s="8"/>
      <c r="C43" s="8"/>
      <c r="D43" s="8"/>
      <c r="E43" s="8"/>
      <c r="F43" s="8"/>
      <c r="G43" s="73"/>
      <c r="H43" s="93"/>
      <c r="I43" s="80" t="s">
        <v>94</v>
      </c>
      <c r="J43" s="8"/>
    </row>
    <row r="44" spans="1:10" x14ac:dyDescent="0.25">
      <c r="A44" s="8"/>
      <c r="B44" s="8"/>
      <c r="C44" s="8"/>
      <c r="D44" s="8"/>
      <c r="E44" s="8"/>
      <c r="F44" s="8"/>
      <c r="G44" s="73"/>
      <c r="H44" s="93"/>
      <c r="I44" s="81" t="s">
        <v>163</v>
      </c>
      <c r="J44" s="8"/>
    </row>
    <row r="45" spans="1:10" x14ac:dyDescent="0.25">
      <c r="A45" s="8"/>
      <c r="B45" s="8"/>
      <c r="C45" s="8"/>
      <c r="D45" s="8"/>
      <c r="E45" s="8"/>
      <c r="F45" s="8"/>
      <c r="G45" s="73"/>
      <c r="H45" s="93"/>
      <c r="I45" s="80" t="s">
        <v>164</v>
      </c>
      <c r="J45" s="8"/>
    </row>
    <row r="46" spans="1:10" x14ac:dyDescent="0.25">
      <c r="A46" s="8"/>
      <c r="B46" s="8"/>
      <c r="C46" s="8"/>
      <c r="D46" s="8"/>
      <c r="E46" s="8"/>
      <c r="F46" s="8"/>
      <c r="G46" s="73"/>
      <c r="H46" s="93"/>
      <c r="I46" s="81" t="s">
        <v>180</v>
      </c>
      <c r="J46" s="8"/>
    </row>
    <row r="47" spans="1:10" x14ac:dyDescent="0.25">
      <c r="A47" s="8"/>
      <c r="B47" s="8"/>
      <c r="C47" s="8"/>
      <c r="D47" s="8"/>
      <c r="E47" s="8"/>
      <c r="F47" s="8"/>
      <c r="G47" s="73"/>
      <c r="H47" s="93"/>
      <c r="I47" s="80" t="s">
        <v>21</v>
      </c>
      <c r="J47" s="8"/>
    </row>
    <row r="48" spans="1:10" x14ac:dyDescent="0.25">
      <c r="A48" s="8"/>
      <c r="B48" s="8"/>
      <c r="C48" s="8"/>
      <c r="D48" s="8"/>
      <c r="E48" s="8"/>
      <c r="F48" s="8"/>
      <c r="G48" s="94"/>
      <c r="H48" s="95"/>
      <c r="I48" s="83" t="s">
        <v>22</v>
      </c>
      <c r="J48" s="8"/>
    </row>
    <row r="49" spans="1:10" x14ac:dyDescent="0.25">
      <c r="A49" s="8"/>
      <c r="B49" s="8"/>
      <c r="C49" s="8"/>
      <c r="D49" s="8"/>
      <c r="E49" s="8"/>
      <c r="F49" s="8"/>
      <c r="G49" s="85">
        <v>4</v>
      </c>
      <c r="H49" s="131" t="str">
        <f>D14</f>
        <v>Documentation</v>
      </c>
      <c r="I49" s="2" t="s">
        <v>101</v>
      </c>
      <c r="J49" s="8"/>
    </row>
    <row r="50" spans="1:10" x14ac:dyDescent="0.25">
      <c r="A50" s="8"/>
      <c r="B50" s="8"/>
      <c r="C50" s="8"/>
      <c r="D50" s="8"/>
      <c r="E50" s="8"/>
      <c r="F50" s="8"/>
      <c r="G50" s="71"/>
      <c r="H50" s="87"/>
      <c r="I50" s="3" t="s">
        <v>50</v>
      </c>
      <c r="J50" s="8"/>
    </row>
    <row r="51" spans="1:10" x14ac:dyDescent="0.25">
      <c r="A51" s="8"/>
      <c r="B51" s="8"/>
      <c r="C51" s="8"/>
      <c r="D51" s="8"/>
      <c r="E51" s="8"/>
      <c r="F51" s="8"/>
      <c r="G51" s="71"/>
      <c r="H51" s="87"/>
      <c r="I51" s="3" t="s">
        <v>51</v>
      </c>
      <c r="J51" s="8"/>
    </row>
    <row r="52" spans="1:10" x14ac:dyDescent="0.25">
      <c r="A52" s="8"/>
      <c r="B52" s="8"/>
      <c r="C52" s="8"/>
      <c r="D52" s="8"/>
      <c r="E52" s="8"/>
      <c r="F52" s="8"/>
      <c r="G52" s="71"/>
      <c r="H52" s="87"/>
      <c r="I52" s="3" t="s">
        <v>134</v>
      </c>
      <c r="J52" s="8"/>
    </row>
    <row r="53" spans="1:10" x14ac:dyDescent="0.25">
      <c r="A53" s="8"/>
      <c r="B53" s="8"/>
      <c r="C53" s="8"/>
      <c r="D53" s="8"/>
      <c r="E53" s="8"/>
      <c r="F53" s="8"/>
      <c r="G53" s="71"/>
      <c r="H53" s="87"/>
      <c r="I53" s="3" t="s">
        <v>76</v>
      </c>
      <c r="J53" s="8"/>
    </row>
    <row r="54" spans="1:10" x14ac:dyDescent="0.25">
      <c r="A54" s="8"/>
      <c r="B54" s="8"/>
      <c r="C54" s="8"/>
      <c r="D54" s="8"/>
      <c r="E54" s="8"/>
      <c r="F54" s="8"/>
      <c r="G54" s="72"/>
      <c r="H54" s="88"/>
      <c r="I54" s="4" t="s">
        <v>103</v>
      </c>
      <c r="J54" s="8"/>
    </row>
    <row r="55" spans="1:10" x14ac:dyDescent="0.25">
      <c r="A55" s="8"/>
      <c r="B55" s="8"/>
      <c r="C55" s="8"/>
      <c r="D55" s="8"/>
      <c r="E55" s="8"/>
      <c r="F55" s="8"/>
      <c r="G55" s="85">
        <v>5</v>
      </c>
      <c r="H55" s="131" t="str">
        <f>D15</f>
        <v>Test</v>
      </c>
      <c r="I55" s="82" t="s">
        <v>67</v>
      </c>
      <c r="J55" s="8"/>
    </row>
    <row r="56" spans="1:10" x14ac:dyDescent="0.25">
      <c r="A56" s="8"/>
      <c r="B56" s="8"/>
      <c r="C56" s="8"/>
      <c r="D56" s="8"/>
      <c r="E56" s="8"/>
      <c r="F56" s="8"/>
      <c r="G56" s="71"/>
      <c r="H56" s="87"/>
      <c r="I56" s="81" t="s">
        <v>68</v>
      </c>
      <c r="J56" s="8"/>
    </row>
    <row r="57" spans="1:10" x14ac:dyDescent="0.25">
      <c r="A57" s="8"/>
      <c r="B57" s="8"/>
      <c r="C57" s="8"/>
      <c r="D57" s="8"/>
      <c r="E57" s="8"/>
      <c r="F57" s="8"/>
      <c r="G57" s="71"/>
      <c r="H57" s="87"/>
      <c r="I57" s="81" t="s">
        <v>69</v>
      </c>
      <c r="J57" s="8"/>
    </row>
    <row r="58" spans="1:10" x14ac:dyDescent="0.25">
      <c r="A58" s="8"/>
      <c r="B58" s="8"/>
      <c r="C58" s="8"/>
      <c r="D58" s="8"/>
      <c r="E58" s="8"/>
      <c r="F58" s="8"/>
      <c r="G58" s="71"/>
      <c r="H58" s="87"/>
      <c r="I58" s="81" t="s">
        <v>70</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2" t="str">
        <f>D16</f>
        <v>Réunion</v>
      </c>
      <c r="I61" s="82" t="s">
        <v>63</v>
      </c>
      <c r="J61" s="8"/>
    </row>
    <row r="62" spans="1:10" x14ac:dyDescent="0.25">
      <c r="A62" s="8"/>
      <c r="B62" s="8"/>
      <c r="C62" s="8"/>
      <c r="D62" s="8"/>
      <c r="E62" s="8"/>
      <c r="F62" s="8"/>
      <c r="G62" s="71"/>
      <c r="H62" s="87"/>
      <c r="I62" s="81" t="s">
        <v>64</v>
      </c>
      <c r="J62" s="8"/>
    </row>
    <row r="63" spans="1:10" x14ac:dyDescent="0.25">
      <c r="A63" s="8"/>
      <c r="B63" s="8"/>
      <c r="C63" s="8"/>
      <c r="D63" s="8"/>
      <c r="E63" s="8"/>
      <c r="F63" s="8"/>
      <c r="G63" s="71"/>
      <c r="H63" s="87"/>
      <c r="I63" s="81" t="s">
        <v>65</v>
      </c>
      <c r="J63" s="8"/>
    </row>
    <row r="64" spans="1:10" x14ac:dyDescent="0.25">
      <c r="A64" s="8"/>
      <c r="B64" s="8"/>
      <c r="C64" s="8"/>
      <c r="D64" s="8"/>
      <c r="E64" s="8"/>
      <c r="F64" s="8"/>
      <c r="G64" s="71"/>
      <c r="H64" s="87"/>
      <c r="I64" s="81" t="s">
        <v>66</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topLeftCell="A31" zoomScale="70" zoomScaleNormal="70" zoomScaleSheetLayoutView="70" zoomScalePageLayoutView="70" workbookViewId="0">
      <selection activeCell="BJ1" sqref="BJ1:BJ1048576"/>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7">
        <f ca="1">TODAY()</f>
        <v>44333</v>
      </c>
    </row>
    <row r="2" spans="2:129" ht="60.75" customHeight="1" thickBot="1" x14ac:dyDescent="0.3">
      <c r="B2" s="211" t="s">
        <v>119</v>
      </c>
      <c r="C2" s="212"/>
      <c r="D2" s="212"/>
      <c r="E2" s="212"/>
      <c r="F2" s="212"/>
      <c r="G2" s="212"/>
      <c r="H2" s="212"/>
      <c r="I2" s="212"/>
      <c r="J2" s="212"/>
      <c r="K2" s="212"/>
      <c r="L2" s="212"/>
      <c r="M2" s="212"/>
      <c r="N2" s="212"/>
      <c r="O2" s="212"/>
      <c r="P2" s="212"/>
      <c r="Q2" s="212"/>
      <c r="R2" s="212"/>
      <c r="S2" s="212"/>
      <c r="T2" s="212"/>
      <c r="U2" s="212"/>
      <c r="V2" s="212"/>
      <c r="W2" s="212"/>
      <c r="X2" s="212"/>
      <c r="Y2" s="212"/>
      <c r="Z2" s="212"/>
      <c r="AA2" s="212"/>
      <c r="AB2" s="212"/>
      <c r="AC2" s="212"/>
      <c r="AD2" s="212"/>
      <c r="AE2" s="212"/>
      <c r="AF2" s="212"/>
      <c r="AG2" s="212"/>
      <c r="AH2" s="212"/>
      <c r="AI2" s="212"/>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2"/>
      <c r="CP2" s="212"/>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3"/>
    </row>
    <row r="3" spans="2:129" s="100" customFormat="1" ht="62.25" customHeight="1" x14ac:dyDescent="0.5">
      <c r="B3" s="196"/>
      <c r="C3" s="221">
        <f>Base!B6</f>
        <v>44319</v>
      </c>
      <c r="D3" s="218"/>
      <c r="E3" s="218"/>
      <c r="F3" s="218"/>
      <c r="G3" s="218"/>
      <c r="H3" s="218"/>
      <c r="I3" s="218"/>
      <c r="J3" s="220"/>
      <c r="K3" s="217">
        <f>C3+1</f>
        <v>44320</v>
      </c>
      <c r="L3" s="218"/>
      <c r="M3" s="218"/>
      <c r="N3" s="218"/>
      <c r="O3" s="220"/>
      <c r="P3" s="217">
        <f>K3+1</f>
        <v>44321</v>
      </c>
      <c r="Q3" s="218"/>
      <c r="R3" s="218"/>
      <c r="S3" s="218"/>
      <c r="T3" s="218"/>
      <c r="U3" s="218"/>
      <c r="V3" s="218"/>
      <c r="W3" s="218"/>
      <c r="X3" s="220"/>
      <c r="Y3" s="217">
        <f>P3+1</f>
        <v>44322</v>
      </c>
      <c r="Z3" s="218"/>
      <c r="AA3" s="218"/>
      <c r="AB3" s="218"/>
      <c r="AC3" s="218"/>
      <c r="AD3" s="218"/>
      <c r="AE3" s="218"/>
      <c r="AF3" s="220"/>
      <c r="AG3" s="221">
        <v>44326</v>
      </c>
      <c r="AH3" s="218"/>
      <c r="AI3" s="218"/>
      <c r="AJ3" s="218"/>
      <c r="AK3" s="218"/>
      <c r="AL3" s="218"/>
      <c r="AM3" s="218"/>
      <c r="AN3" s="220"/>
      <c r="AO3" s="217">
        <f>AG3+1</f>
        <v>44327</v>
      </c>
      <c r="AP3" s="218"/>
      <c r="AQ3" s="218"/>
      <c r="AR3" s="218"/>
      <c r="AS3" s="220"/>
      <c r="AT3" s="217">
        <f>AO3+1</f>
        <v>44328</v>
      </c>
      <c r="AU3" s="218"/>
      <c r="AV3" s="218"/>
      <c r="AW3" s="218"/>
      <c r="AX3" s="218"/>
      <c r="AY3" s="218"/>
      <c r="AZ3" s="218"/>
      <c r="BA3" s="218"/>
      <c r="BB3" s="220"/>
      <c r="BC3" s="221">
        <f>AT3+5</f>
        <v>44333</v>
      </c>
      <c r="BD3" s="218"/>
      <c r="BE3" s="218"/>
      <c r="BF3" s="218"/>
      <c r="BG3" s="218"/>
      <c r="BH3" s="218"/>
      <c r="BI3" s="218"/>
      <c r="BJ3" s="220"/>
      <c r="BK3" s="217">
        <f>BC3+1</f>
        <v>44334</v>
      </c>
      <c r="BL3" s="218"/>
      <c r="BM3" s="218"/>
      <c r="BN3" s="218"/>
      <c r="BO3" s="220"/>
      <c r="BP3" s="217">
        <f>BK3+1</f>
        <v>44335</v>
      </c>
      <c r="BQ3" s="218"/>
      <c r="BR3" s="218"/>
      <c r="BS3" s="218"/>
      <c r="BT3" s="218"/>
      <c r="BU3" s="218"/>
      <c r="BV3" s="218"/>
      <c r="BW3" s="218"/>
      <c r="BX3" s="220"/>
      <c r="BY3" s="217">
        <f>BP3+1</f>
        <v>44336</v>
      </c>
      <c r="BZ3" s="218"/>
      <c r="CA3" s="218"/>
      <c r="CB3" s="218"/>
      <c r="CC3" s="218"/>
      <c r="CD3" s="218"/>
      <c r="CE3" s="218"/>
      <c r="CF3" s="220"/>
      <c r="CG3" s="217">
        <f>BY3+5</f>
        <v>44341</v>
      </c>
      <c r="CH3" s="218"/>
      <c r="CI3" s="218"/>
      <c r="CJ3" s="218"/>
      <c r="CK3" s="220"/>
      <c r="CL3" s="217">
        <f>CG3+1</f>
        <v>44342</v>
      </c>
      <c r="CM3" s="218"/>
      <c r="CN3" s="218"/>
      <c r="CO3" s="218"/>
      <c r="CP3" s="218"/>
      <c r="CQ3" s="218"/>
      <c r="CR3" s="218"/>
      <c r="CS3" s="218"/>
      <c r="CT3" s="220"/>
      <c r="CU3" s="217">
        <f>CL3+1</f>
        <v>44343</v>
      </c>
      <c r="CV3" s="218"/>
      <c r="CW3" s="218"/>
      <c r="CX3" s="218"/>
      <c r="CY3" s="218"/>
      <c r="CZ3" s="218"/>
      <c r="DA3" s="218"/>
      <c r="DB3" s="220"/>
      <c r="DC3" s="221">
        <f>CU3+4</f>
        <v>44347</v>
      </c>
      <c r="DD3" s="218"/>
      <c r="DE3" s="218"/>
      <c r="DF3" s="218"/>
      <c r="DG3" s="218"/>
      <c r="DH3" s="218"/>
      <c r="DI3" s="218"/>
      <c r="DJ3" s="220"/>
      <c r="DK3" s="217">
        <f>DC3+1</f>
        <v>44348</v>
      </c>
      <c r="DL3" s="218"/>
      <c r="DM3" s="218"/>
      <c r="DN3" s="218"/>
      <c r="DO3" s="220"/>
      <c r="DP3" s="217">
        <f>DK3+1</f>
        <v>44349</v>
      </c>
      <c r="DQ3" s="218"/>
      <c r="DR3" s="218"/>
      <c r="DS3" s="219"/>
      <c r="DT3" s="195"/>
      <c r="DU3" s="195"/>
      <c r="DV3" s="195"/>
      <c r="DW3" s="195"/>
      <c r="DX3" s="195"/>
      <c r="DY3" s="195"/>
    </row>
    <row r="4" spans="2:129" s="15" customFormat="1" ht="19.5" thickBot="1" x14ac:dyDescent="0.3">
      <c r="B4" s="70" t="s">
        <v>8</v>
      </c>
      <c r="C4" s="222">
        <f>_xlfn.ISOWEEKNUM(C3)</f>
        <v>18</v>
      </c>
      <c r="D4" s="222"/>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3">
        <f>_xlfn.ISOWEEKNUM(AG3)</f>
        <v>19</v>
      </c>
      <c r="AH4" s="222"/>
      <c r="AI4" s="222"/>
      <c r="AJ4" s="222"/>
      <c r="AK4" s="222"/>
      <c r="AL4" s="222"/>
      <c r="AM4" s="222"/>
      <c r="AN4" s="222"/>
      <c r="AO4" s="222"/>
      <c r="AP4" s="222"/>
      <c r="AQ4" s="222"/>
      <c r="AR4" s="222"/>
      <c r="AS4" s="222"/>
      <c r="AT4" s="222"/>
      <c r="AU4" s="222"/>
      <c r="AV4" s="222"/>
      <c r="AW4" s="222"/>
      <c r="AX4" s="222"/>
      <c r="AY4" s="222"/>
      <c r="AZ4" s="222"/>
      <c r="BA4" s="222"/>
      <c r="BB4" s="222"/>
      <c r="BC4" s="222">
        <f>_xlfn.ISOWEEKNUM(BC3)</f>
        <v>20</v>
      </c>
      <c r="BD4" s="222"/>
      <c r="BE4" s="222"/>
      <c r="BF4" s="222"/>
      <c r="BG4" s="222"/>
      <c r="BH4" s="222"/>
      <c r="BI4" s="222"/>
      <c r="BJ4" s="222"/>
      <c r="BK4" s="222"/>
      <c r="BL4" s="222"/>
      <c r="BM4" s="222"/>
      <c r="BN4" s="222"/>
      <c r="BO4" s="222"/>
      <c r="BP4" s="222"/>
      <c r="BQ4" s="222"/>
      <c r="BR4" s="222"/>
      <c r="BS4" s="222"/>
      <c r="BT4" s="222"/>
      <c r="BU4" s="222"/>
      <c r="BV4" s="222"/>
      <c r="BW4" s="222"/>
      <c r="BX4" s="222"/>
      <c r="BY4" s="222"/>
      <c r="BZ4" s="222"/>
      <c r="CA4" s="222"/>
      <c r="CB4" s="222"/>
      <c r="CC4" s="222"/>
      <c r="CD4" s="222"/>
      <c r="CE4" s="222"/>
      <c r="CF4" s="222"/>
      <c r="CG4" s="222"/>
      <c r="CH4" s="222"/>
      <c r="CI4" s="222"/>
      <c r="CJ4" s="222"/>
      <c r="CK4" s="222"/>
      <c r="CL4" s="222"/>
      <c r="CM4" s="222"/>
      <c r="CN4" s="222"/>
      <c r="CO4" s="222"/>
      <c r="CP4" s="222"/>
      <c r="CQ4" s="222"/>
      <c r="CR4" s="222"/>
      <c r="CS4" s="222"/>
      <c r="CT4" s="222"/>
      <c r="CU4" s="222"/>
      <c r="CV4" s="222"/>
      <c r="CW4" s="222"/>
      <c r="CX4" s="222"/>
      <c r="CY4" s="222"/>
      <c r="CZ4" s="222"/>
      <c r="DA4" s="222"/>
      <c r="DB4" s="222"/>
      <c r="DC4" s="223">
        <f>_xlfn.ISOWEEKNUM(DC3)</f>
        <v>22</v>
      </c>
      <c r="DD4" s="222"/>
      <c r="DE4" s="222"/>
      <c r="DF4" s="222"/>
      <c r="DG4" s="222"/>
      <c r="DH4" s="222"/>
      <c r="DI4" s="222"/>
      <c r="DJ4" s="222"/>
      <c r="DK4" s="222"/>
      <c r="DL4" s="222"/>
      <c r="DM4" s="222"/>
      <c r="DN4" s="222"/>
      <c r="DO4" s="222"/>
      <c r="DP4" s="222"/>
      <c r="DQ4" s="222"/>
      <c r="DR4" s="222"/>
      <c r="DS4" s="224"/>
      <c r="DT4" s="16"/>
      <c r="DU4" s="16"/>
      <c r="DV4" s="16"/>
      <c r="DW4" s="16"/>
      <c r="DX4" s="16"/>
      <c r="DY4" s="16"/>
    </row>
    <row r="5" spans="2:129" s="13" customFormat="1" ht="15.75" customHeight="1" x14ac:dyDescent="0.25">
      <c r="B5" s="231"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32"/>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7"/>
      <c r="F7" s="157"/>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1"/>
      <c r="BD7" s="112"/>
      <c r="BE7" s="112"/>
      <c r="BF7" s="112"/>
      <c r="BG7" s="112"/>
      <c r="BH7" s="112"/>
      <c r="BI7" s="112"/>
      <c r="BJ7" s="112"/>
      <c r="BK7" s="112"/>
      <c r="BL7" s="112"/>
      <c r="BM7" s="112"/>
      <c r="BN7" s="112"/>
      <c r="BO7" s="113"/>
      <c r="BP7" s="113"/>
      <c r="BQ7" s="113"/>
      <c r="BR7" s="113"/>
      <c r="BS7" s="113"/>
      <c r="BT7" s="113"/>
      <c r="BU7" s="113"/>
      <c r="BV7" s="113"/>
      <c r="BW7" s="113"/>
      <c r="BX7" s="113"/>
      <c r="BY7" s="113"/>
      <c r="BZ7" s="113"/>
      <c r="CA7" s="113"/>
      <c r="CB7" s="113"/>
      <c r="CC7" s="113"/>
      <c r="CD7" s="113"/>
      <c r="CE7" s="113"/>
      <c r="CF7" s="188"/>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7"/>
      <c r="H8" s="157"/>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7"/>
      <c r="I9" s="157"/>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7"/>
      <c r="E10" s="157"/>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29"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9"/>
    </row>
    <row r="14" spans="2:129" ht="15" customHeight="1" thickBot="1" x14ac:dyDescent="0.3">
      <c r="B14" s="230"/>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0"/>
    </row>
    <row r="15" spans="2:129" x14ac:dyDescent="0.25">
      <c r="B15" s="1" t="str">
        <f>Base!I10</f>
        <v>201 choix de l'architecture</v>
      </c>
      <c r="C15" s="67"/>
      <c r="D15" s="45"/>
      <c r="E15" s="45"/>
      <c r="F15" s="45"/>
      <c r="G15" s="45"/>
      <c r="H15" s="45"/>
      <c r="I15" s="45"/>
      <c r="J15" s="159"/>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1"/>
      <c r="BD15" s="112"/>
      <c r="BE15" s="112"/>
      <c r="BF15" s="112"/>
      <c r="BG15" s="112"/>
      <c r="BH15" s="112"/>
      <c r="BI15" s="112"/>
      <c r="BJ15" s="112"/>
      <c r="BK15" s="112"/>
      <c r="BL15" s="112"/>
      <c r="BM15" s="112"/>
      <c r="BN15" s="112"/>
      <c r="BO15" s="113"/>
      <c r="BP15" s="113"/>
      <c r="BQ15" s="113"/>
      <c r="BR15" s="113"/>
      <c r="BS15" s="113"/>
      <c r="BT15" s="113"/>
      <c r="BU15" s="113"/>
      <c r="BV15" s="113"/>
      <c r="BW15" s="113"/>
      <c r="BX15" s="113"/>
      <c r="BY15" s="113"/>
      <c r="BZ15" s="113"/>
      <c r="CA15" s="113"/>
      <c r="CB15" s="113"/>
      <c r="CC15" s="113"/>
      <c r="CD15" s="113"/>
      <c r="CE15" s="113"/>
      <c r="CF15" s="188"/>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5"/>
      <c r="R16" s="175"/>
      <c r="S16" s="175"/>
      <c r="T16" s="175"/>
      <c r="U16" s="175"/>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5"/>
      <c r="V17" s="175"/>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59"/>
      <c r="N18" s="159"/>
      <c r="O18" s="175"/>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5"/>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5"/>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5"/>
      <c r="AC21" s="175"/>
      <c r="AD21" s="175"/>
      <c r="AE21" s="175"/>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49"/>
      <c r="X22" s="175"/>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5"/>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9"/>
      <c r="K24" s="159"/>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59"/>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4"/>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4"/>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33"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34"/>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9"/>
      <c r="AH33" s="180"/>
      <c r="AI33" s="180"/>
      <c r="AJ33" s="112"/>
      <c r="AK33" s="112"/>
      <c r="AL33" s="112"/>
      <c r="AM33" s="112"/>
      <c r="AN33" s="112"/>
      <c r="AO33" s="112"/>
      <c r="AP33" s="112"/>
      <c r="AQ33" s="112"/>
      <c r="AR33" s="112"/>
      <c r="AS33" s="113"/>
      <c r="AT33" s="113"/>
      <c r="AU33" s="113"/>
      <c r="AV33" s="113"/>
      <c r="AW33" s="113"/>
      <c r="AX33" s="113"/>
      <c r="AY33" s="113"/>
      <c r="AZ33" s="113"/>
      <c r="BA33" s="113"/>
      <c r="BB33" s="189"/>
      <c r="BC33" s="111"/>
      <c r="BD33" s="112"/>
      <c r="BE33" s="112"/>
      <c r="BF33" s="112"/>
      <c r="BG33" s="112"/>
      <c r="BH33" s="112"/>
      <c r="BI33" s="112"/>
      <c r="BJ33" s="112"/>
      <c r="BK33" s="112"/>
      <c r="BL33" s="112"/>
      <c r="BM33" s="112"/>
      <c r="BN33" s="112"/>
      <c r="BO33" s="113"/>
      <c r="BP33" s="113"/>
      <c r="BQ33" s="113"/>
      <c r="BR33" s="113"/>
      <c r="BS33" s="113"/>
      <c r="BT33" s="113"/>
      <c r="BU33" s="113"/>
      <c r="BV33" s="113"/>
      <c r="BW33" s="113"/>
      <c r="BX33" s="113"/>
      <c r="BY33" s="113"/>
      <c r="BZ33" s="113"/>
      <c r="CA33" s="113"/>
      <c r="CB33" s="113"/>
      <c r="CC33" s="113"/>
      <c r="CD33" s="113"/>
      <c r="CE33" s="113"/>
      <c r="CF33" s="188"/>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7"/>
      <c r="AK34" s="177"/>
      <c r="AL34" s="177"/>
      <c r="AM34" s="177"/>
      <c r="AN34" s="45"/>
      <c r="AO34" s="45"/>
      <c r="AP34" s="45"/>
      <c r="AQ34" s="45"/>
      <c r="AR34" s="45"/>
      <c r="AS34" s="44"/>
      <c r="AT34" s="44"/>
      <c r="AU34" s="44"/>
      <c r="AV34" s="44"/>
      <c r="AW34" s="44"/>
      <c r="AX34" s="44"/>
      <c r="AY34" s="44"/>
      <c r="AZ34" s="44"/>
      <c r="BA34" s="44"/>
      <c r="BB34" s="190"/>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7"/>
      <c r="AO35" s="177"/>
      <c r="AP35" s="177"/>
      <c r="AQ35" s="45"/>
      <c r="AR35" s="45"/>
      <c r="AS35" s="45"/>
      <c r="AT35" s="45"/>
      <c r="AU35" s="44"/>
      <c r="AV35" s="44"/>
      <c r="AW35" s="44"/>
      <c r="AX35" s="44"/>
      <c r="AY35" s="44"/>
      <c r="AZ35" s="44"/>
      <c r="BA35" s="44"/>
      <c r="BB35" s="190"/>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7"/>
      <c r="AR36" s="177"/>
      <c r="AS36" s="177"/>
      <c r="AT36" s="45"/>
      <c r="AU36" s="44"/>
      <c r="AV36" s="44"/>
      <c r="AW36" s="44"/>
      <c r="AX36" s="44"/>
      <c r="AY36" s="44"/>
      <c r="AZ36" s="44"/>
      <c r="BA36" s="44"/>
      <c r="BB36" s="190"/>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7"/>
      <c r="AU37" s="178"/>
      <c r="AV37" s="178"/>
      <c r="AW37" s="44"/>
      <c r="AX37" s="44"/>
      <c r="AY37" s="44"/>
      <c r="AZ37" s="44"/>
      <c r="BA37" s="44"/>
      <c r="BB37" s="190"/>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0"/>
      <c r="BC38" s="176"/>
      <c r="BD38" s="177"/>
      <c r="BE38" s="177"/>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0"/>
      <c r="BC39" s="67"/>
      <c r="BD39" s="45"/>
      <c r="BE39" s="44"/>
      <c r="BF39" s="177"/>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0"/>
      <c r="BC40" s="67"/>
      <c r="BD40" s="45"/>
      <c r="BE40" s="44"/>
      <c r="BF40" s="45"/>
      <c r="BG40" s="45"/>
      <c r="BH40" s="44"/>
      <c r="BI40" s="44"/>
      <c r="BJ40" s="44"/>
      <c r="BK40" s="44"/>
      <c r="BL40" s="44"/>
      <c r="BM40" s="44"/>
      <c r="BN40" s="44"/>
      <c r="BO40" s="44"/>
      <c r="BP40" s="44"/>
      <c r="BQ40" s="44"/>
      <c r="BR40" s="45"/>
      <c r="BS40" s="45"/>
      <c r="BT40" s="45"/>
      <c r="BU40" s="177"/>
      <c r="BV40" s="177"/>
      <c r="BW40" s="177"/>
      <c r="BX40" s="177"/>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0"/>
      <c r="BC41" s="67"/>
      <c r="BD41" s="45"/>
      <c r="BE41" s="44"/>
      <c r="BF41" s="45"/>
      <c r="BG41" s="45"/>
      <c r="BH41" s="44"/>
      <c r="BI41" s="44"/>
      <c r="BJ41" s="178"/>
      <c r="BK41" s="178"/>
      <c r="BL41" s="178"/>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1"/>
      <c r="BC42" s="64"/>
      <c r="BD42" s="39"/>
      <c r="BE42" s="38"/>
      <c r="BF42" s="39"/>
      <c r="BG42" s="39"/>
      <c r="BH42" s="38"/>
      <c r="BI42" s="38"/>
      <c r="BJ42" s="38"/>
      <c r="BK42" s="38"/>
      <c r="BL42" s="38"/>
      <c r="BM42" s="162"/>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1"/>
      <c r="BC43" s="64"/>
      <c r="BD43" s="39"/>
      <c r="BE43" s="38"/>
      <c r="BF43" s="39"/>
      <c r="BG43" s="39"/>
      <c r="BH43" s="38"/>
      <c r="BI43" s="38"/>
      <c r="BJ43" s="38"/>
      <c r="BK43" s="38"/>
      <c r="BL43" s="38"/>
      <c r="BM43" s="38"/>
      <c r="BN43" s="162"/>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1"/>
      <c r="BC44" s="64"/>
      <c r="BD44" s="39"/>
      <c r="BE44" s="38"/>
      <c r="BF44" s="39"/>
      <c r="BG44" s="39"/>
      <c r="BH44" s="38"/>
      <c r="BI44" s="38"/>
      <c r="BJ44" s="38"/>
      <c r="BK44" s="38"/>
      <c r="BL44" s="38"/>
      <c r="BM44" s="38"/>
      <c r="BN44" s="38"/>
      <c r="BO44" s="162"/>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1"/>
      <c r="BC45" s="64"/>
      <c r="BD45" s="39"/>
      <c r="BE45" s="38"/>
      <c r="BF45" s="39"/>
      <c r="BG45" s="39"/>
      <c r="BH45" s="38"/>
      <c r="BI45" s="38"/>
      <c r="BJ45" s="38"/>
      <c r="BK45" s="38"/>
      <c r="BL45" s="38"/>
      <c r="BM45" s="38"/>
      <c r="BN45" s="38"/>
      <c r="BO45" s="38"/>
      <c r="BP45" s="162"/>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1"/>
      <c r="BC46" s="64"/>
      <c r="BD46" s="39"/>
      <c r="BE46" s="38"/>
      <c r="BF46" s="39"/>
      <c r="BG46" s="39"/>
      <c r="BH46" s="38"/>
      <c r="BI46" s="38"/>
      <c r="BJ46" s="38"/>
      <c r="BK46" s="38"/>
      <c r="BL46" s="38"/>
      <c r="BM46" s="38"/>
      <c r="BN46" s="38"/>
      <c r="BO46" s="38"/>
      <c r="BP46" s="38"/>
      <c r="BQ46" s="162"/>
      <c r="BR46" s="162"/>
      <c r="BS46" s="162"/>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1"/>
      <c r="BC47" s="64"/>
      <c r="BD47" s="39"/>
      <c r="BE47" s="38"/>
      <c r="BF47" s="39"/>
      <c r="BG47" s="156"/>
      <c r="BH47" s="162"/>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1"/>
      <c r="BC48" s="64"/>
      <c r="BD48" s="39"/>
      <c r="BE48" s="38"/>
      <c r="BF48" s="39"/>
      <c r="BG48" s="39"/>
      <c r="BH48" s="38"/>
      <c r="BI48" s="162"/>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1"/>
      <c r="BC49" s="64"/>
      <c r="BD49" s="39"/>
      <c r="BE49" s="38"/>
      <c r="BF49" s="39"/>
      <c r="BG49" s="39"/>
      <c r="BH49" s="38"/>
      <c r="BI49" s="38"/>
      <c r="BJ49" s="38"/>
      <c r="BK49" s="38"/>
      <c r="BL49" s="38"/>
      <c r="BM49" s="38"/>
      <c r="BN49" s="38"/>
      <c r="BO49" s="38"/>
      <c r="BP49" s="38"/>
      <c r="BQ49" s="38"/>
      <c r="BR49" s="38"/>
      <c r="BS49" s="38"/>
      <c r="BT49" s="162"/>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1"/>
      <c r="BC50" s="64"/>
      <c r="BD50" s="39"/>
      <c r="BE50" s="38"/>
      <c r="BF50" s="39"/>
      <c r="BG50" s="39"/>
      <c r="BH50" s="38"/>
      <c r="BI50" s="38"/>
      <c r="BJ50" s="38"/>
      <c r="BK50" s="38"/>
      <c r="BL50" s="38"/>
      <c r="BM50" s="38"/>
      <c r="BN50" s="38"/>
      <c r="BO50" s="38"/>
      <c r="BP50" s="38"/>
      <c r="BQ50" s="38"/>
      <c r="BR50" s="38"/>
      <c r="BS50" s="38"/>
      <c r="BT50" s="38"/>
      <c r="BU50" s="39"/>
      <c r="BV50" s="39"/>
      <c r="BW50" s="39"/>
      <c r="BX50" s="39"/>
      <c r="BY50" s="156"/>
      <c r="BZ50" s="156"/>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91"/>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91"/>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1"/>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1"/>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2"/>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25"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26"/>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6"/>
      <c r="D58" s="185"/>
      <c r="E58" s="185"/>
      <c r="F58" s="185"/>
      <c r="G58" s="185"/>
      <c r="H58" s="185"/>
      <c r="I58" s="185"/>
      <c r="J58" s="185"/>
      <c r="K58" s="185"/>
      <c r="L58" s="185"/>
      <c r="M58" s="185"/>
      <c r="N58" s="185"/>
      <c r="O58" s="181"/>
      <c r="P58" s="181"/>
      <c r="Q58" s="181"/>
      <c r="R58" s="181"/>
      <c r="S58" s="181"/>
      <c r="T58" s="181"/>
      <c r="U58" s="181"/>
      <c r="V58" s="181"/>
      <c r="W58" s="181"/>
      <c r="X58" s="181"/>
      <c r="Y58" s="181"/>
      <c r="Z58" s="181"/>
      <c r="AA58" s="181"/>
      <c r="AB58" s="181"/>
      <c r="AC58" s="181"/>
      <c r="AD58" s="181"/>
      <c r="AE58" s="181"/>
      <c r="AF58" s="181"/>
      <c r="AG58" s="186"/>
      <c r="AH58" s="185"/>
      <c r="AI58" s="185"/>
      <c r="AJ58" s="185"/>
      <c r="AK58" s="185"/>
      <c r="AL58" s="185"/>
      <c r="AM58" s="185"/>
      <c r="AN58" s="185"/>
      <c r="AO58" s="185"/>
      <c r="AP58" s="185"/>
      <c r="AQ58" s="185"/>
      <c r="AR58" s="185"/>
      <c r="AS58" s="181"/>
      <c r="AT58" s="181"/>
      <c r="AU58" s="181"/>
      <c r="AV58" s="181"/>
      <c r="AW58" s="181"/>
      <c r="AX58" s="181"/>
      <c r="AY58" s="181"/>
      <c r="AZ58" s="181"/>
      <c r="BA58" s="181"/>
      <c r="BB58" s="181"/>
      <c r="BC58" s="182"/>
      <c r="BD58" s="183"/>
      <c r="BE58" s="183"/>
      <c r="BF58" s="183"/>
      <c r="BG58" s="183"/>
      <c r="BH58" s="183"/>
      <c r="BI58" s="183"/>
      <c r="BJ58" s="183"/>
      <c r="BK58" s="183"/>
      <c r="BL58" s="183"/>
      <c r="BM58" s="183"/>
      <c r="BN58" s="183"/>
      <c r="BO58" s="184"/>
      <c r="BP58" s="184"/>
      <c r="BQ58" s="184"/>
      <c r="BR58" s="184"/>
      <c r="BS58" s="184"/>
      <c r="BT58" s="184"/>
      <c r="BU58" s="184"/>
      <c r="BV58" s="184"/>
      <c r="BW58" s="184"/>
      <c r="BX58" s="184"/>
      <c r="BY58" s="184"/>
      <c r="BZ58" s="184"/>
      <c r="CA58" s="184"/>
      <c r="CB58" s="184"/>
      <c r="CC58" s="184"/>
      <c r="CD58" s="184"/>
      <c r="CE58" s="184"/>
      <c r="CF58" s="193"/>
      <c r="CG58" s="185"/>
      <c r="CH58" s="185"/>
      <c r="CI58" s="185"/>
      <c r="CJ58" s="185"/>
      <c r="CK58" s="181"/>
      <c r="CL58" s="181"/>
      <c r="CM58" s="181"/>
      <c r="CN58" s="181"/>
      <c r="CO58" s="181"/>
      <c r="CP58" s="181"/>
      <c r="CQ58" s="181"/>
      <c r="CR58" s="181"/>
      <c r="CS58" s="181"/>
      <c r="CT58" s="181"/>
      <c r="CU58" s="181"/>
      <c r="CV58" s="181"/>
      <c r="CW58" s="181"/>
      <c r="CX58" s="181"/>
      <c r="CY58" s="181"/>
      <c r="CZ58" s="181"/>
      <c r="DA58" s="181"/>
      <c r="DB58" s="181"/>
      <c r="DC58" s="186"/>
      <c r="DD58" s="185"/>
      <c r="DE58" s="185"/>
      <c r="DF58" s="185"/>
      <c r="DG58" s="185"/>
      <c r="DH58" s="185"/>
      <c r="DI58" s="185"/>
      <c r="DJ58" s="185"/>
      <c r="DK58" s="185"/>
      <c r="DL58" s="185"/>
      <c r="DM58" s="185"/>
      <c r="DN58" s="185"/>
      <c r="DO58" s="181"/>
      <c r="DP58" s="181"/>
      <c r="DQ58" s="181"/>
      <c r="DR58" s="181"/>
      <c r="DS58" s="187"/>
    </row>
    <row r="59" spans="2:123" x14ac:dyDescent="0.25">
      <c r="B59" s="1" t="str">
        <f>Base!I50</f>
        <v>402 journal de travail</v>
      </c>
      <c r="C59" s="163"/>
      <c r="D59" s="164"/>
      <c r="E59" s="164"/>
      <c r="F59" s="164"/>
      <c r="G59" s="164"/>
      <c r="H59" s="164"/>
      <c r="I59" s="164"/>
      <c r="J59" s="164"/>
      <c r="K59" s="164"/>
      <c r="L59" s="164"/>
      <c r="M59" s="164"/>
      <c r="N59" s="164"/>
      <c r="O59" s="165"/>
      <c r="P59" s="165"/>
      <c r="Q59" s="165"/>
      <c r="R59" s="165"/>
      <c r="S59" s="165"/>
      <c r="T59" s="165"/>
      <c r="U59" s="165"/>
      <c r="V59" s="165"/>
      <c r="W59" s="165"/>
      <c r="X59" s="165"/>
      <c r="Y59" s="165"/>
      <c r="Z59" s="165"/>
      <c r="AA59" s="165"/>
      <c r="AB59" s="165"/>
      <c r="AC59" s="165"/>
      <c r="AD59" s="165"/>
      <c r="AE59" s="165"/>
      <c r="AF59" s="165"/>
      <c r="AG59" s="163"/>
      <c r="AH59" s="164"/>
      <c r="AI59" s="164"/>
      <c r="AJ59" s="164"/>
      <c r="AK59" s="164"/>
      <c r="AL59" s="164"/>
      <c r="AM59" s="164"/>
      <c r="AN59" s="164"/>
      <c r="AO59" s="164"/>
      <c r="AP59" s="164"/>
      <c r="AQ59" s="164"/>
      <c r="AR59" s="164"/>
      <c r="AS59" s="165"/>
      <c r="AT59" s="165"/>
      <c r="AU59" s="165"/>
      <c r="AV59" s="165"/>
      <c r="AW59" s="165"/>
      <c r="AX59" s="165"/>
      <c r="AY59" s="165"/>
      <c r="AZ59" s="165"/>
      <c r="BA59" s="165"/>
      <c r="BB59" s="165"/>
      <c r="BC59" s="163"/>
      <c r="BD59" s="164"/>
      <c r="BE59" s="164"/>
      <c r="BF59" s="164"/>
      <c r="BG59" s="164"/>
      <c r="BH59" s="164"/>
      <c r="BI59" s="164"/>
      <c r="BJ59" s="164"/>
      <c r="BK59" s="164"/>
      <c r="BL59" s="164"/>
      <c r="BM59" s="164"/>
      <c r="BN59" s="164"/>
      <c r="BO59" s="165"/>
      <c r="BP59" s="165"/>
      <c r="BQ59" s="165"/>
      <c r="BR59" s="165"/>
      <c r="BS59" s="165"/>
      <c r="BT59" s="165"/>
      <c r="BU59" s="165"/>
      <c r="BV59" s="165"/>
      <c r="BW59" s="165"/>
      <c r="BX59" s="165"/>
      <c r="BY59" s="165"/>
      <c r="BZ59" s="165"/>
      <c r="CA59" s="165"/>
      <c r="CB59" s="165"/>
      <c r="CC59" s="165"/>
      <c r="CD59" s="165"/>
      <c r="CE59" s="165"/>
      <c r="CF59" s="166"/>
      <c r="CG59" s="164"/>
      <c r="CH59" s="164"/>
      <c r="CI59" s="164"/>
      <c r="CJ59" s="164"/>
      <c r="CK59" s="165"/>
      <c r="CL59" s="165"/>
      <c r="CM59" s="165"/>
      <c r="CN59" s="165"/>
      <c r="CO59" s="165"/>
      <c r="CP59" s="165"/>
      <c r="CQ59" s="165"/>
      <c r="CR59" s="165"/>
      <c r="CS59" s="165"/>
      <c r="CT59" s="165"/>
      <c r="CU59" s="165"/>
      <c r="CV59" s="165"/>
      <c r="CW59" s="165"/>
      <c r="CX59" s="165"/>
      <c r="CY59" s="165"/>
      <c r="CZ59" s="165"/>
      <c r="DA59" s="165"/>
      <c r="DB59" s="165"/>
      <c r="DC59" s="163"/>
      <c r="DD59" s="164"/>
      <c r="DE59" s="164"/>
      <c r="DF59" s="164"/>
      <c r="DG59" s="164"/>
      <c r="DH59" s="164"/>
      <c r="DI59" s="164"/>
      <c r="DJ59" s="164"/>
      <c r="DK59" s="164"/>
      <c r="DL59" s="164"/>
      <c r="DM59" s="164"/>
      <c r="DN59" s="164"/>
      <c r="DO59" s="165"/>
      <c r="DP59" s="165"/>
      <c r="DQ59" s="165"/>
      <c r="DR59" s="165"/>
      <c r="DS59" s="166"/>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0"/>
      <c r="DN60" s="160"/>
      <c r="DO60" s="161"/>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61"/>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0"/>
      <c r="DL61" s="160"/>
      <c r="DM61" s="39"/>
      <c r="DN61" s="39"/>
      <c r="DO61" s="38"/>
      <c r="DP61" s="38"/>
      <c r="DQ61" s="38"/>
      <c r="DR61" s="38"/>
      <c r="DS61" s="60"/>
    </row>
    <row r="62" spans="2:123" x14ac:dyDescent="0.25">
      <c r="B62" s="1" t="str">
        <f>Base!I53</f>
        <v>405 mise en place du GitHub</v>
      </c>
      <c r="C62" s="64"/>
      <c r="D62" s="39"/>
      <c r="E62" s="39"/>
      <c r="F62" s="39"/>
      <c r="G62" s="39"/>
      <c r="H62" s="39"/>
      <c r="I62" s="39"/>
      <c r="J62" s="160"/>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7"/>
      <c r="K63" s="41"/>
      <c r="L63" s="41"/>
      <c r="M63" s="41"/>
      <c r="N63" s="41"/>
      <c r="O63" s="168"/>
      <c r="P63" s="40"/>
      <c r="Q63" s="40"/>
      <c r="R63" s="40"/>
      <c r="S63" s="40"/>
      <c r="T63" s="40"/>
      <c r="U63" s="40"/>
      <c r="V63" s="40"/>
      <c r="W63" s="40"/>
      <c r="X63" s="40"/>
      <c r="Y63" s="40"/>
      <c r="Z63" s="40"/>
      <c r="AA63" s="40"/>
      <c r="AB63" s="40"/>
      <c r="AC63" s="40"/>
      <c r="AD63" s="40"/>
      <c r="AE63" s="40"/>
      <c r="AF63" s="168"/>
      <c r="AG63" s="66"/>
      <c r="AH63" s="41"/>
      <c r="AI63" s="41"/>
      <c r="AJ63" s="41"/>
      <c r="AK63" s="41"/>
      <c r="AL63" s="41"/>
      <c r="AM63" s="41"/>
      <c r="AN63" s="41"/>
      <c r="AO63" s="41"/>
      <c r="AP63" s="41"/>
      <c r="AQ63" s="41"/>
      <c r="AR63" s="41"/>
      <c r="AS63" s="168"/>
      <c r="AT63" s="40"/>
      <c r="AU63" s="40"/>
      <c r="AV63" s="40"/>
      <c r="AW63" s="40"/>
      <c r="AX63" s="40"/>
      <c r="AY63" s="40"/>
      <c r="AZ63" s="40"/>
      <c r="BA63" s="40"/>
      <c r="BB63" s="168"/>
      <c r="BC63" s="65"/>
      <c r="BD63" s="59"/>
      <c r="BE63" s="59"/>
      <c r="BF63" s="59"/>
      <c r="BG63" s="59"/>
      <c r="BH63" s="59"/>
      <c r="BI63" s="59"/>
      <c r="BJ63" s="59"/>
      <c r="BK63" s="59"/>
      <c r="BL63" s="59"/>
      <c r="BM63" s="59"/>
      <c r="BN63" s="59"/>
      <c r="BO63" s="169"/>
      <c r="BP63" s="58"/>
      <c r="BQ63" s="58"/>
      <c r="BR63" s="58"/>
      <c r="BS63" s="58"/>
      <c r="BT63" s="58"/>
      <c r="BU63" s="58"/>
      <c r="BV63" s="58"/>
      <c r="BW63" s="58"/>
      <c r="BX63" s="58"/>
      <c r="BY63" s="58"/>
      <c r="BZ63" s="58"/>
      <c r="CA63" s="58"/>
      <c r="CB63" s="58"/>
      <c r="CC63" s="58"/>
      <c r="CD63" s="58"/>
      <c r="CE63" s="58"/>
      <c r="CF63" s="194"/>
      <c r="CG63" s="41"/>
      <c r="CH63" s="41"/>
      <c r="CI63" s="41"/>
      <c r="CJ63" s="41"/>
      <c r="CK63" s="168"/>
      <c r="CL63" s="40"/>
      <c r="CM63" s="40"/>
      <c r="CN63" s="40"/>
      <c r="CO63" s="40"/>
      <c r="CP63" s="40"/>
      <c r="CQ63" s="40"/>
      <c r="CR63" s="40"/>
      <c r="CS63" s="40"/>
      <c r="CT63" s="40"/>
      <c r="CU63" s="40"/>
      <c r="CV63" s="40"/>
      <c r="CW63" s="40"/>
      <c r="CX63" s="40"/>
      <c r="CY63" s="40"/>
      <c r="CZ63" s="40"/>
      <c r="DA63" s="40"/>
      <c r="DB63" s="168"/>
      <c r="DC63" s="66"/>
      <c r="DD63" s="41"/>
      <c r="DE63" s="41"/>
      <c r="DF63" s="41"/>
      <c r="DG63" s="41"/>
      <c r="DH63" s="41"/>
      <c r="DI63" s="41"/>
      <c r="DJ63" s="41"/>
      <c r="DK63" s="41"/>
      <c r="DL63" s="41"/>
      <c r="DM63" s="41"/>
      <c r="DN63" s="41"/>
      <c r="DO63" s="40"/>
      <c r="DP63" s="40"/>
      <c r="DQ63" s="40"/>
      <c r="DR63" s="168"/>
      <c r="DS63" s="170"/>
    </row>
    <row r="64" spans="2:123" ht="15" customHeight="1" x14ac:dyDescent="0.25">
      <c r="B64" s="227"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28"/>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1"/>
      <c r="AX66" s="181"/>
      <c r="AY66" s="181"/>
      <c r="AZ66" s="181"/>
      <c r="BA66" s="181"/>
      <c r="BB66" s="181"/>
      <c r="BC66" s="182"/>
      <c r="BD66" s="183"/>
      <c r="BE66" s="183"/>
      <c r="BF66" s="183"/>
      <c r="BG66" s="183"/>
      <c r="BH66" s="183"/>
      <c r="BI66" s="183"/>
      <c r="BJ66" s="183"/>
      <c r="BK66" s="183"/>
      <c r="BL66" s="183"/>
      <c r="BM66" s="183"/>
      <c r="BN66" s="183"/>
      <c r="BO66" s="184"/>
      <c r="BP66" s="184"/>
      <c r="BQ66" s="184"/>
      <c r="BR66" s="184"/>
      <c r="BS66" s="184"/>
      <c r="BT66" s="184"/>
      <c r="BU66" s="184"/>
      <c r="BV66" s="184"/>
      <c r="BW66" s="184"/>
      <c r="BX66" s="184"/>
      <c r="BY66" s="184"/>
      <c r="BZ66" s="184"/>
      <c r="CA66" s="184"/>
      <c r="CB66" s="184"/>
      <c r="CC66" s="184"/>
      <c r="CD66" s="184"/>
      <c r="CE66" s="184"/>
      <c r="CF66" s="193"/>
      <c r="CG66" s="185"/>
      <c r="CH66" s="185"/>
      <c r="CI66" s="185"/>
      <c r="CJ66" s="185"/>
      <c r="CK66" s="181"/>
      <c r="CL66" s="181"/>
      <c r="CM66" s="181"/>
      <c r="CN66" s="181"/>
      <c r="CO66" s="181"/>
      <c r="CP66" s="181"/>
      <c r="CQ66" s="181"/>
      <c r="CR66" s="181"/>
      <c r="CS66" s="181"/>
      <c r="CT66" s="181"/>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3"/>
      <c r="BD67" s="164"/>
      <c r="BE67" s="164"/>
      <c r="BF67" s="164"/>
      <c r="BG67" s="164"/>
      <c r="BH67" s="164"/>
      <c r="BI67" s="164"/>
      <c r="BJ67" s="164"/>
      <c r="BK67" s="164"/>
      <c r="BL67" s="164"/>
      <c r="BM67" s="164"/>
      <c r="BN67" s="164"/>
      <c r="BO67" s="165"/>
      <c r="BP67" s="165"/>
      <c r="BQ67" s="165"/>
      <c r="BR67" s="165"/>
      <c r="BS67" s="165"/>
      <c r="BT67" s="165"/>
      <c r="BU67" s="165"/>
      <c r="BV67" s="165"/>
      <c r="BW67" s="165"/>
      <c r="BX67" s="165"/>
      <c r="BY67" s="165"/>
      <c r="BZ67" s="165"/>
      <c r="CA67" s="165"/>
      <c r="CB67" s="165"/>
      <c r="CC67" s="165"/>
      <c r="CD67" s="165"/>
      <c r="CE67" s="165"/>
      <c r="CF67" s="166"/>
      <c r="CG67" s="164"/>
      <c r="CH67" s="164"/>
      <c r="CI67" s="164"/>
      <c r="CJ67" s="164"/>
      <c r="CK67" s="165"/>
      <c r="CL67" s="165"/>
      <c r="CM67" s="165"/>
      <c r="CN67" s="165"/>
      <c r="CO67" s="165"/>
      <c r="CP67" s="165"/>
      <c r="CQ67" s="165"/>
      <c r="CR67" s="165"/>
      <c r="CS67" s="165"/>
      <c r="CT67" s="165"/>
      <c r="CU67" s="165"/>
      <c r="CV67" s="165"/>
      <c r="CW67" s="165"/>
      <c r="CX67" s="165"/>
      <c r="CY67" s="165"/>
      <c r="CZ67" s="165"/>
      <c r="DA67" s="165"/>
      <c r="DB67" s="165"/>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3"/>
      <c r="BD68" s="164"/>
      <c r="BE68" s="164"/>
      <c r="BF68" s="164"/>
      <c r="BG68" s="164"/>
      <c r="BH68" s="164"/>
      <c r="BI68" s="164"/>
      <c r="BJ68" s="164"/>
      <c r="BK68" s="164"/>
      <c r="BL68" s="164"/>
      <c r="BM68" s="164"/>
      <c r="BN68" s="164"/>
      <c r="BO68" s="165"/>
      <c r="BP68" s="165"/>
      <c r="BQ68" s="165"/>
      <c r="BR68" s="165"/>
      <c r="BS68" s="165"/>
      <c r="BT68" s="165"/>
      <c r="BU68" s="165"/>
      <c r="BV68" s="165"/>
      <c r="BW68" s="165"/>
      <c r="BX68" s="165"/>
      <c r="BY68" s="165"/>
      <c r="BZ68" s="165"/>
      <c r="CA68" s="165"/>
      <c r="CB68" s="165"/>
      <c r="CC68" s="165"/>
      <c r="CD68" s="165"/>
      <c r="CE68" s="165"/>
      <c r="CF68" s="166"/>
      <c r="CG68" s="164"/>
      <c r="CH68" s="164"/>
      <c r="CI68" s="164"/>
      <c r="CJ68" s="164"/>
      <c r="CK68" s="165"/>
      <c r="CL68" s="165"/>
      <c r="CM68" s="165"/>
      <c r="CN68" s="165"/>
      <c r="CO68" s="165"/>
      <c r="CP68" s="165"/>
      <c r="CQ68" s="165"/>
      <c r="CR68" s="165"/>
      <c r="CS68" s="165"/>
      <c r="CT68" s="165"/>
      <c r="CU68" s="165"/>
      <c r="CV68" s="165"/>
      <c r="CW68" s="165"/>
      <c r="CX68" s="165"/>
      <c r="CY68" s="165"/>
      <c r="CZ68" s="165"/>
      <c r="DA68" s="165"/>
      <c r="DB68" s="165"/>
      <c r="DC68" s="163"/>
      <c r="DD68" s="164"/>
      <c r="DE68" s="164"/>
      <c r="DF68" s="164"/>
      <c r="DG68" s="164"/>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5"/>
      <c r="AX69" s="165"/>
      <c r="AY69" s="165"/>
      <c r="AZ69" s="165"/>
      <c r="BA69" s="165"/>
      <c r="BB69" s="165"/>
      <c r="BC69" s="163"/>
      <c r="BD69" s="164"/>
      <c r="BE69" s="164"/>
      <c r="BF69" s="164"/>
      <c r="BG69" s="164"/>
      <c r="BH69" s="164"/>
      <c r="BI69" s="164"/>
      <c r="BJ69" s="164"/>
      <c r="BK69" s="164"/>
      <c r="BL69" s="164"/>
      <c r="BM69" s="164"/>
      <c r="BN69" s="164"/>
      <c r="BO69" s="165"/>
      <c r="BP69" s="165"/>
      <c r="BQ69" s="165"/>
      <c r="BR69" s="165"/>
      <c r="BS69" s="165"/>
      <c r="BT69" s="165"/>
      <c r="BU69" s="165"/>
      <c r="BV69" s="165"/>
      <c r="BW69" s="165"/>
      <c r="BX69" s="165"/>
      <c r="BY69" s="165"/>
      <c r="BZ69" s="165"/>
      <c r="CA69" s="165"/>
      <c r="CB69" s="165"/>
      <c r="CC69" s="165"/>
      <c r="CD69" s="165"/>
      <c r="CE69" s="165"/>
      <c r="CF69" s="166"/>
      <c r="CG69" s="164"/>
      <c r="CH69" s="164"/>
      <c r="CI69" s="164"/>
      <c r="CJ69" s="164"/>
      <c r="CK69" s="165"/>
      <c r="CL69" s="165"/>
      <c r="CM69" s="165"/>
      <c r="CN69" s="165"/>
      <c r="CO69" s="165"/>
      <c r="CP69" s="165"/>
      <c r="CQ69" s="165"/>
      <c r="CR69" s="165"/>
      <c r="CS69" s="165"/>
      <c r="CT69" s="165"/>
      <c r="CU69" s="165"/>
      <c r="CV69" s="165"/>
      <c r="CW69" s="165"/>
      <c r="CX69" s="165"/>
      <c r="CY69" s="165"/>
      <c r="CZ69" s="165"/>
      <c r="DA69" s="165"/>
      <c r="DB69" s="165"/>
      <c r="DC69" s="163"/>
      <c r="DD69" s="164"/>
      <c r="DE69" s="164"/>
      <c r="DF69" s="164"/>
      <c r="DG69" s="164"/>
      <c r="DH69" s="158"/>
      <c r="DI69" s="158"/>
      <c r="DJ69" s="158"/>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15" t="str">
        <f>Base!H61</f>
        <v>Réunion</v>
      </c>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15.75" customHeight="1" thickBot="1" x14ac:dyDescent="0.3">
      <c r="B73" s="216"/>
      <c r="C73" s="1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7"/>
    </row>
    <row r="74" spans="2:125" ht="30" x14ac:dyDescent="0.25">
      <c r="B74" s="128" t="str">
        <f>Base!I61</f>
        <v>601 réunion avec monsieur C.Egger, CdP</v>
      </c>
      <c r="C74" s="154"/>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1"/>
      <c r="BD74" s="112"/>
      <c r="BE74" s="112"/>
      <c r="BF74" s="112"/>
      <c r="BG74" s="112"/>
      <c r="BH74" s="112"/>
      <c r="BI74" s="112"/>
      <c r="BJ74" s="112"/>
      <c r="BK74" s="112"/>
      <c r="BL74" s="112"/>
      <c r="BM74" s="112"/>
      <c r="BN74" s="112"/>
      <c r="BO74" s="113"/>
      <c r="BP74" s="113"/>
      <c r="BQ74" s="113"/>
      <c r="BR74" s="113"/>
      <c r="BS74" s="113"/>
      <c r="BT74" s="113"/>
      <c r="BU74" s="113"/>
      <c r="BV74" s="113"/>
      <c r="BW74" s="113"/>
      <c r="BX74" s="113"/>
      <c r="BY74" s="113"/>
      <c r="BZ74" s="113"/>
      <c r="CA74" s="113"/>
      <c r="CB74" s="113"/>
      <c r="CC74" s="113"/>
      <c r="CD74" s="113"/>
      <c r="CE74" s="113"/>
      <c r="CF74" s="188"/>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9" t="str">
        <f>Base!I62</f>
        <v>602 réunion avec monsieur G.Gruaz, expert 1</v>
      </c>
      <c r="C75" s="155"/>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9"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9"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9"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0"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8"/>
      <c r="DO80" s="138"/>
      <c r="DP80" s="138"/>
      <c r="DQ80" s="138"/>
      <c r="DR80" s="138"/>
      <c r="DS80" s="138"/>
      <c r="DT80" s="33"/>
      <c r="DU80" s="33"/>
    </row>
    <row r="81" spans="3:125" x14ac:dyDescent="0.25">
      <c r="C81" s="148"/>
      <c r="D81" s="39"/>
      <c r="G81" s="214" t="s">
        <v>72</v>
      </c>
      <c r="H81" s="214"/>
      <c r="I81" s="214"/>
      <c r="J81" s="214"/>
      <c r="K81" s="214"/>
      <c r="L81" s="214"/>
      <c r="M81" s="214"/>
      <c r="N81" s="214"/>
      <c r="O81" s="214"/>
      <c r="P81" s="214"/>
      <c r="Q81" s="214"/>
      <c r="R81" s="214"/>
      <c r="S81" s="214"/>
      <c r="T81" s="214"/>
      <c r="U81" s="214"/>
      <c r="V81" s="214"/>
      <c r="W81" s="214"/>
      <c r="X81" s="214"/>
      <c r="Y81" s="214"/>
      <c r="Z81" s="214"/>
      <c r="AA81" s="214"/>
      <c r="AB81" s="214"/>
      <c r="AC81" s="214"/>
      <c r="AD81" s="214"/>
      <c r="AE81" s="214"/>
      <c r="AF81" s="214"/>
      <c r="DT81" s="33"/>
      <c r="DU81" s="33"/>
    </row>
    <row r="82" spans="3:125" x14ac:dyDescent="0.25">
      <c r="DT82" s="33"/>
      <c r="DU82" s="33"/>
    </row>
    <row r="83" spans="3:125" x14ac:dyDescent="0.25">
      <c r="D83" s="150"/>
      <c r="G83" s="214" t="s">
        <v>73</v>
      </c>
      <c r="H83" s="214"/>
      <c r="I83" s="214"/>
      <c r="J83" s="214"/>
      <c r="K83" s="214"/>
      <c r="L83" s="214"/>
      <c r="M83" s="214"/>
      <c r="N83" s="214"/>
      <c r="O83" s="214"/>
      <c r="P83" s="214"/>
      <c r="Q83" s="214"/>
      <c r="R83" s="214"/>
      <c r="S83" s="214"/>
      <c r="T83" s="214"/>
      <c r="U83" s="214"/>
      <c r="V83" s="214"/>
      <c r="W83" s="214"/>
      <c r="X83" s="214"/>
      <c r="Y83" s="214"/>
      <c r="Z83" s="214"/>
      <c r="AA83" s="214"/>
      <c r="AB83" s="214"/>
      <c r="AC83" s="214"/>
      <c r="AD83" s="214"/>
      <c r="AE83" s="214"/>
      <c r="AF83" s="214"/>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DC4:DS4"/>
    <mergeCell ref="B56:B57"/>
    <mergeCell ref="B64:B65"/>
    <mergeCell ref="C4:AF4"/>
    <mergeCell ref="CG4:DB4"/>
    <mergeCell ref="B13:B14"/>
    <mergeCell ref="B5:B6"/>
    <mergeCell ref="B31:B32"/>
    <mergeCell ref="AG4:BB4"/>
    <mergeCell ref="AT3:BB3"/>
    <mergeCell ref="C3:J3"/>
    <mergeCell ref="K3:O3"/>
    <mergeCell ref="P3:X3"/>
    <mergeCell ref="Y3:AF3"/>
    <mergeCell ref="AG3:AN3"/>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topLeftCell="A22" zoomScale="70" zoomScaleNormal="70" zoomScaleSheetLayoutView="70" zoomScalePageLayoutView="70" workbookViewId="0">
      <selection activeCell="EA43" sqref="EA43"/>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7">
        <f ca="1">TODAY()</f>
        <v>44333</v>
      </c>
    </row>
    <row r="2" spans="2:129" ht="60.75" customHeight="1" thickBot="1" x14ac:dyDescent="0.3">
      <c r="B2" s="211" t="s">
        <v>161</v>
      </c>
      <c r="C2" s="212"/>
      <c r="D2" s="212"/>
      <c r="E2" s="212"/>
      <c r="F2" s="212"/>
      <c r="G2" s="212"/>
      <c r="H2" s="212"/>
      <c r="I2" s="212"/>
      <c r="J2" s="212"/>
      <c r="K2" s="212"/>
      <c r="L2" s="212"/>
      <c r="M2" s="212"/>
      <c r="N2" s="212"/>
      <c r="O2" s="212"/>
      <c r="P2" s="212"/>
      <c r="Q2" s="212"/>
      <c r="R2" s="212"/>
      <c r="S2" s="212"/>
      <c r="T2" s="212"/>
      <c r="U2" s="212"/>
      <c r="V2" s="212"/>
      <c r="W2" s="212"/>
      <c r="X2" s="212"/>
      <c r="Y2" s="212"/>
      <c r="Z2" s="212"/>
      <c r="AA2" s="212"/>
      <c r="AB2" s="212"/>
      <c r="AC2" s="212"/>
      <c r="AD2" s="212"/>
      <c r="AE2" s="212"/>
      <c r="AF2" s="212"/>
      <c r="AG2" s="212"/>
      <c r="AH2" s="212"/>
      <c r="AI2" s="212"/>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2"/>
      <c r="CP2" s="212"/>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3"/>
    </row>
    <row r="3" spans="2:129" s="100" customFormat="1" ht="62.25" customHeight="1" x14ac:dyDescent="0.5">
      <c r="B3" s="196"/>
      <c r="C3" s="221">
        <f>Base!B6</f>
        <v>44319</v>
      </c>
      <c r="D3" s="218"/>
      <c r="E3" s="218"/>
      <c r="F3" s="218"/>
      <c r="G3" s="218"/>
      <c r="H3" s="218"/>
      <c r="I3" s="218"/>
      <c r="J3" s="220"/>
      <c r="K3" s="217">
        <f>C3+1</f>
        <v>44320</v>
      </c>
      <c r="L3" s="218"/>
      <c r="M3" s="218"/>
      <c r="N3" s="218"/>
      <c r="O3" s="220"/>
      <c r="P3" s="217">
        <f>K3+1</f>
        <v>44321</v>
      </c>
      <c r="Q3" s="218"/>
      <c r="R3" s="218"/>
      <c r="S3" s="218"/>
      <c r="T3" s="218"/>
      <c r="U3" s="218"/>
      <c r="V3" s="218"/>
      <c r="W3" s="218"/>
      <c r="X3" s="220"/>
      <c r="Y3" s="217">
        <f>P3+1</f>
        <v>44322</v>
      </c>
      <c r="Z3" s="218"/>
      <c r="AA3" s="218"/>
      <c r="AB3" s="218"/>
      <c r="AC3" s="218"/>
      <c r="AD3" s="218"/>
      <c r="AE3" s="218"/>
      <c r="AF3" s="220"/>
      <c r="AG3" s="221">
        <v>44326</v>
      </c>
      <c r="AH3" s="218"/>
      <c r="AI3" s="218"/>
      <c r="AJ3" s="218"/>
      <c r="AK3" s="218"/>
      <c r="AL3" s="218"/>
      <c r="AM3" s="218"/>
      <c r="AN3" s="220"/>
      <c r="AO3" s="217">
        <f>AG3+1</f>
        <v>44327</v>
      </c>
      <c r="AP3" s="218"/>
      <c r="AQ3" s="218"/>
      <c r="AR3" s="218"/>
      <c r="AS3" s="220"/>
      <c r="AT3" s="217">
        <f>AO3+1</f>
        <v>44328</v>
      </c>
      <c r="AU3" s="218"/>
      <c r="AV3" s="218"/>
      <c r="AW3" s="218"/>
      <c r="AX3" s="218"/>
      <c r="AY3" s="218"/>
      <c r="AZ3" s="218"/>
      <c r="BA3" s="218"/>
      <c r="BB3" s="220"/>
      <c r="BC3" s="221">
        <f>AT3+5</f>
        <v>44333</v>
      </c>
      <c r="BD3" s="218"/>
      <c r="BE3" s="218"/>
      <c r="BF3" s="218"/>
      <c r="BG3" s="218"/>
      <c r="BH3" s="218"/>
      <c r="BI3" s="218"/>
      <c r="BJ3" s="220"/>
      <c r="BK3" s="217">
        <f>BC3+1</f>
        <v>44334</v>
      </c>
      <c r="BL3" s="218"/>
      <c r="BM3" s="218"/>
      <c r="BN3" s="218"/>
      <c r="BO3" s="220"/>
      <c r="BP3" s="217">
        <f>BK3+1</f>
        <v>44335</v>
      </c>
      <c r="BQ3" s="218"/>
      <c r="BR3" s="218"/>
      <c r="BS3" s="218"/>
      <c r="BT3" s="218"/>
      <c r="BU3" s="218"/>
      <c r="BV3" s="218"/>
      <c r="BW3" s="218"/>
      <c r="BX3" s="220"/>
      <c r="BY3" s="217">
        <f>BP3+1</f>
        <v>44336</v>
      </c>
      <c r="BZ3" s="218"/>
      <c r="CA3" s="218"/>
      <c r="CB3" s="218"/>
      <c r="CC3" s="218"/>
      <c r="CD3" s="218"/>
      <c r="CE3" s="218"/>
      <c r="CF3" s="220"/>
      <c r="CG3" s="217">
        <f>BY3+5</f>
        <v>44341</v>
      </c>
      <c r="CH3" s="218"/>
      <c r="CI3" s="218"/>
      <c r="CJ3" s="218"/>
      <c r="CK3" s="220"/>
      <c r="CL3" s="217">
        <f>CG3+1</f>
        <v>44342</v>
      </c>
      <c r="CM3" s="218"/>
      <c r="CN3" s="218"/>
      <c r="CO3" s="218"/>
      <c r="CP3" s="218"/>
      <c r="CQ3" s="218"/>
      <c r="CR3" s="218"/>
      <c r="CS3" s="218"/>
      <c r="CT3" s="220"/>
      <c r="CU3" s="217">
        <f>CL3+1</f>
        <v>44343</v>
      </c>
      <c r="CV3" s="218"/>
      <c r="CW3" s="218"/>
      <c r="CX3" s="218"/>
      <c r="CY3" s="218"/>
      <c r="CZ3" s="218"/>
      <c r="DA3" s="218"/>
      <c r="DB3" s="220"/>
      <c r="DC3" s="221">
        <f>CU3+4</f>
        <v>44347</v>
      </c>
      <c r="DD3" s="218"/>
      <c r="DE3" s="218"/>
      <c r="DF3" s="218"/>
      <c r="DG3" s="218"/>
      <c r="DH3" s="218"/>
      <c r="DI3" s="218"/>
      <c r="DJ3" s="220"/>
      <c r="DK3" s="217">
        <f>DC3+1</f>
        <v>44348</v>
      </c>
      <c r="DL3" s="218"/>
      <c r="DM3" s="218"/>
      <c r="DN3" s="218"/>
      <c r="DO3" s="220"/>
      <c r="DP3" s="217">
        <f>DK3+1</f>
        <v>44349</v>
      </c>
      <c r="DQ3" s="218"/>
      <c r="DR3" s="218"/>
      <c r="DS3" s="219"/>
      <c r="DT3" s="195"/>
      <c r="DU3" s="195"/>
      <c r="DV3" s="195"/>
      <c r="DW3" s="195"/>
      <c r="DX3" s="195"/>
      <c r="DY3" s="195"/>
    </row>
    <row r="4" spans="2:129" s="15" customFormat="1" ht="19.5" thickBot="1" x14ac:dyDescent="0.3">
      <c r="B4" s="70" t="s">
        <v>8</v>
      </c>
      <c r="C4" s="222">
        <f>_xlfn.ISOWEEKNUM(C3)</f>
        <v>18</v>
      </c>
      <c r="D4" s="222"/>
      <c r="E4" s="222"/>
      <c r="F4" s="222"/>
      <c r="G4" s="222"/>
      <c r="H4" s="222"/>
      <c r="I4" s="222"/>
      <c r="J4" s="222"/>
      <c r="K4" s="222"/>
      <c r="L4" s="222"/>
      <c r="M4" s="222"/>
      <c r="N4" s="222"/>
      <c r="O4" s="222"/>
      <c r="P4" s="222"/>
      <c r="Q4" s="222"/>
      <c r="R4" s="222"/>
      <c r="S4" s="222"/>
      <c r="T4" s="222"/>
      <c r="U4" s="222"/>
      <c r="V4" s="222"/>
      <c r="W4" s="222"/>
      <c r="X4" s="222"/>
      <c r="Y4" s="222"/>
      <c r="Z4" s="222"/>
      <c r="AA4" s="222"/>
      <c r="AB4" s="222"/>
      <c r="AC4" s="222"/>
      <c r="AD4" s="222"/>
      <c r="AE4" s="222"/>
      <c r="AF4" s="222"/>
      <c r="AG4" s="223">
        <f>_xlfn.ISOWEEKNUM(AG3)</f>
        <v>19</v>
      </c>
      <c r="AH4" s="222"/>
      <c r="AI4" s="222"/>
      <c r="AJ4" s="222"/>
      <c r="AK4" s="222"/>
      <c r="AL4" s="222"/>
      <c r="AM4" s="222"/>
      <c r="AN4" s="222"/>
      <c r="AO4" s="222"/>
      <c r="AP4" s="222"/>
      <c r="AQ4" s="222"/>
      <c r="AR4" s="222"/>
      <c r="AS4" s="222"/>
      <c r="AT4" s="222"/>
      <c r="AU4" s="222"/>
      <c r="AV4" s="222"/>
      <c r="AW4" s="222"/>
      <c r="AX4" s="222"/>
      <c r="AY4" s="222"/>
      <c r="AZ4" s="222"/>
      <c r="BA4" s="222"/>
      <c r="BB4" s="222"/>
      <c r="BC4" s="222">
        <f>_xlfn.ISOWEEKNUM(BC3)</f>
        <v>20</v>
      </c>
      <c r="BD4" s="222"/>
      <c r="BE4" s="222"/>
      <c r="BF4" s="222"/>
      <c r="BG4" s="222"/>
      <c r="BH4" s="222"/>
      <c r="BI4" s="222"/>
      <c r="BJ4" s="222"/>
      <c r="BK4" s="222"/>
      <c r="BL4" s="222"/>
      <c r="BM4" s="222"/>
      <c r="BN4" s="222"/>
      <c r="BO4" s="222"/>
      <c r="BP4" s="222"/>
      <c r="BQ4" s="222"/>
      <c r="BR4" s="222"/>
      <c r="BS4" s="222"/>
      <c r="BT4" s="222"/>
      <c r="BU4" s="222"/>
      <c r="BV4" s="222"/>
      <c r="BW4" s="222"/>
      <c r="BX4" s="222"/>
      <c r="BY4" s="222"/>
      <c r="BZ4" s="222"/>
      <c r="CA4" s="222"/>
      <c r="CB4" s="222"/>
      <c r="CC4" s="222"/>
      <c r="CD4" s="222"/>
      <c r="CE4" s="222"/>
      <c r="CF4" s="222"/>
      <c r="CG4" s="222"/>
      <c r="CH4" s="222"/>
      <c r="CI4" s="222"/>
      <c r="CJ4" s="222"/>
      <c r="CK4" s="222"/>
      <c r="CL4" s="222"/>
      <c r="CM4" s="222"/>
      <c r="CN4" s="222"/>
      <c r="CO4" s="222"/>
      <c r="CP4" s="222"/>
      <c r="CQ4" s="222"/>
      <c r="CR4" s="222"/>
      <c r="CS4" s="222"/>
      <c r="CT4" s="222"/>
      <c r="CU4" s="222"/>
      <c r="CV4" s="222"/>
      <c r="CW4" s="222"/>
      <c r="CX4" s="222"/>
      <c r="CY4" s="222"/>
      <c r="CZ4" s="222"/>
      <c r="DA4" s="222"/>
      <c r="DB4" s="222"/>
      <c r="DC4" s="223">
        <f>_xlfn.ISOWEEKNUM(DC3)</f>
        <v>22</v>
      </c>
      <c r="DD4" s="222"/>
      <c r="DE4" s="222"/>
      <c r="DF4" s="222"/>
      <c r="DG4" s="222"/>
      <c r="DH4" s="222"/>
      <c r="DI4" s="222"/>
      <c r="DJ4" s="222"/>
      <c r="DK4" s="222"/>
      <c r="DL4" s="222"/>
      <c r="DM4" s="222"/>
      <c r="DN4" s="222"/>
      <c r="DO4" s="222"/>
      <c r="DP4" s="222"/>
      <c r="DQ4" s="222"/>
      <c r="DR4" s="222"/>
      <c r="DS4" s="224"/>
      <c r="DT4" s="16"/>
      <c r="DU4" s="16"/>
      <c r="DV4" s="16"/>
      <c r="DW4" s="16"/>
      <c r="DX4" s="16"/>
      <c r="DY4" s="16"/>
    </row>
    <row r="5" spans="2:129" s="13" customFormat="1" ht="15.75" customHeight="1" x14ac:dyDescent="0.25">
      <c r="B5" s="231"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32"/>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7"/>
      <c r="F7" s="157"/>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1"/>
      <c r="BD7" s="112"/>
      <c r="BE7" s="112"/>
      <c r="BF7" s="112"/>
      <c r="BG7" s="112"/>
      <c r="BH7" s="112"/>
      <c r="BI7" s="112"/>
      <c r="BJ7" s="112"/>
      <c r="BK7" s="112"/>
      <c r="BL7" s="112"/>
      <c r="BM7" s="112"/>
      <c r="BN7" s="112"/>
      <c r="BO7" s="113"/>
      <c r="BP7" s="113"/>
      <c r="BQ7" s="113"/>
      <c r="BR7" s="113"/>
      <c r="BS7" s="113"/>
      <c r="BT7" s="113"/>
      <c r="BU7" s="113"/>
      <c r="BV7" s="113"/>
      <c r="BW7" s="113"/>
      <c r="BX7" s="113"/>
      <c r="BY7" s="113"/>
      <c r="BZ7" s="113"/>
      <c r="CA7" s="113"/>
      <c r="CB7" s="113"/>
      <c r="CC7" s="113"/>
      <c r="CD7" s="113"/>
      <c r="CE7" s="113"/>
      <c r="CF7" s="188"/>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7"/>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7"/>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7"/>
      <c r="E10" s="157"/>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29"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9"/>
    </row>
    <row r="14" spans="2:129" ht="15" customHeight="1" thickBot="1" x14ac:dyDescent="0.3">
      <c r="B14" s="230"/>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10"/>
    </row>
    <row r="15" spans="2:129" x14ac:dyDescent="0.25">
      <c r="B15" s="1" t="str">
        <f>Base!I10</f>
        <v>201 choix de l'architecture</v>
      </c>
      <c r="C15" s="67"/>
      <c r="D15" s="45"/>
      <c r="E15" s="45"/>
      <c r="F15" s="45"/>
      <c r="G15" s="45"/>
      <c r="H15" s="45"/>
      <c r="I15" s="159"/>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1"/>
      <c r="BD15" s="112"/>
      <c r="BE15" s="112"/>
      <c r="BF15" s="112"/>
      <c r="BG15" s="112"/>
      <c r="BH15" s="112"/>
      <c r="BI15" s="112"/>
      <c r="BJ15" s="112"/>
      <c r="BK15" s="112"/>
      <c r="BL15" s="112"/>
      <c r="BM15" s="112"/>
      <c r="BN15" s="112"/>
      <c r="BO15" s="113"/>
      <c r="BP15" s="113"/>
      <c r="BQ15" s="113"/>
      <c r="BR15" s="113"/>
      <c r="BS15" s="113"/>
      <c r="BT15" s="113"/>
      <c r="BU15" s="113"/>
      <c r="BV15" s="113"/>
      <c r="BW15" s="113"/>
      <c r="BX15" s="113"/>
      <c r="BY15" s="113"/>
      <c r="BZ15" s="113"/>
      <c r="CA15" s="113"/>
      <c r="CB15" s="113"/>
      <c r="CC15" s="113"/>
      <c r="CD15" s="113"/>
      <c r="CE15" s="113"/>
      <c r="CF15" s="188"/>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9"/>
      <c r="M16" s="45"/>
      <c r="N16" s="45"/>
      <c r="O16" s="44"/>
      <c r="P16" s="44"/>
      <c r="Q16" s="44"/>
      <c r="R16" s="44"/>
      <c r="S16" s="44"/>
      <c r="T16" s="175"/>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5"/>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9"/>
      <c r="O18" s="175"/>
      <c r="P18" s="175"/>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5"/>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5"/>
      <c r="V20" s="175"/>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5"/>
      <c r="Z21" s="175"/>
      <c r="AA21" s="175"/>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202"/>
      <c r="X22" s="44"/>
      <c r="Y22" s="44"/>
      <c r="Z22" s="44"/>
      <c r="AA22" s="44"/>
      <c r="AB22" s="44"/>
      <c r="AC22" s="175"/>
      <c r="AD22" s="175"/>
      <c r="AE22" s="175"/>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5"/>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9"/>
      <c r="K24" s="159"/>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9"/>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4"/>
      <c r="R26" s="174"/>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4"/>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4"/>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33"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34"/>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9"/>
      <c r="AH33" s="180"/>
      <c r="AI33" s="180"/>
      <c r="AJ33" s="112"/>
      <c r="AK33" s="112"/>
      <c r="AL33" s="112"/>
      <c r="AM33" s="112"/>
      <c r="AN33" s="112"/>
      <c r="AO33" s="112"/>
      <c r="AP33" s="112"/>
      <c r="AQ33" s="112"/>
      <c r="AR33" s="112"/>
      <c r="AS33" s="113"/>
      <c r="AT33" s="113"/>
      <c r="AU33" s="113"/>
      <c r="AV33" s="113"/>
      <c r="AW33" s="113"/>
      <c r="AX33" s="113"/>
      <c r="AY33" s="113"/>
      <c r="AZ33" s="113"/>
      <c r="BA33" s="113"/>
      <c r="BB33" s="189"/>
      <c r="BC33" s="111"/>
      <c r="BD33" s="112"/>
      <c r="BE33" s="112"/>
      <c r="BF33" s="112"/>
      <c r="BG33" s="112"/>
      <c r="BH33" s="112"/>
      <c r="BI33" s="112"/>
      <c r="BJ33" s="112"/>
      <c r="BK33" s="112"/>
      <c r="BL33" s="112"/>
      <c r="BM33" s="112"/>
      <c r="BN33" s="112"/>
      <c r="BO33" s="113"/>
      <c r="BP33" s="113"/>
      <c r="BQ33" s="113"/>
      <c r="BR33" s="113"/>
      <c r="BS33" s="113"/>
      <c r="BT33" s="113"/>
      <c r="BU33" s="113"/>
      <c r="BV33" s="113"/>
      <c r="BW33" s="113"/>
      <c r="BX33" s="113"/>
      <c r="BY33" s="113"/>
      <c r="BZ33" s="113"/>
      <c r="CA33" s="113"/>
      <c r="CB33" s="113"/>
      <c r="CC33" s="113"/>
      <c r="CD33" s="113"/>
      <c r="CE33" s="113"/>
      <c r="CF33" s="188"/>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7"/>
      <c r="AK34" s="177"/>
      <c r="AL34" s="177"/>
      <c r="AM34" s="177"/>
      <c r="AN34" s="45"/>
      <c r="AO34" s="45"/>
      <c r="AP34" s="45"/>
      <c r="AQ34" s="45"/>
      <c r="AR34" s="45"/>
      <c r="AS34" s="44"/>
      <c r="AT34" s="44"/>
      <c r="AU34" s="44"/>
      <c r="AV34" s="44"/>
      <c r="AW34" s="44"/>
      <c r="AX34" s="44"/>
      <c r="AY34" s="44"/>
      <c r="AZ34" s="44"/>
      <c r="BA34" s="44"/>
      <c r="BB34" s="190"/>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7"/>
      <c r="AO35" s="177"/>
      <c r="AP35" s="177"/>
      <c r="AQ35" s="45"/>
      <c r="AR35" s="45"/>
      <c r="AS35" s="45"/>
      <c r="AT35" s="45"/>
      <c r="AU35" s="44"/>
      <c r="AV35" s="44"/>
      <c r="AW35" s="44"/>
      <c r="AX35" s="44"/>
      <c r="AY35" s="44"/>
      <c r="AZ35" s="44"/>
      <c r="BA35" s="44"/>
      <c r="BB35" s="190"/>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7"/>
      <c r="AR36" s="177"/>
      <c r="AS36" s="177"/>
      <c r="AT36" s="45"/>
      <c r="AU36" s="44"/>
      <c r="AV36" s="44"/>
      <c r="AW36" s="44"/>
      <c r="AX36" s="44"/>
      <c r="AY36" s="44"/>
      <c r="AZ36" s="44"/>
      <c r="BA36" s="44"/>
      <c r="BB36" s="190"/>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7"/>
      <c r="AU37" s="178"/>
      <c r="AV37" s="178"/>
      <c r="AW37" s="44"/>
      <c r="AX37" s="44"/>
      <c r="AY37" s="44"/>
      <c r="AZ37" s="44"/>
      <c r="BA37" s="44"/>
      <c r="BB37" s="190"/>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90"/>
      <c r="BC38" s="176"/>
      <c r="BD38" s="177"/>
      <c r="BE38" s="177"/>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90"/>
      <c r="BC39" s="67"/>
      <c r="BD39" s="45"/>
      <c r="BE39" s="44"/>
      <c r="BF39" s="177"/>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90"/>
      <c r="BC40" s="67"/>
      <c r="BD40" s="45"/>
      <c r="BE40" s="44"/>
      <c r="BF40" s="45"/>
      <c r="BG40" s="45"/>
      <c r="BH40" s="44"/>
      <c r="BI40" s="44"/>
      <c r="BJ40" s="44"/>
      <c r="BK40" s="44"/>
      <c r="BL40" s="44"/>
      <c r="BM40" s="44"/>
      <c r="BN40" s="44"/>
      <c r="BO40" s="44"/>
      <c r="BP40" s="44"/>
      <c r="BQ40" s="44"/>
      <c r="BR40" s="45"/>
      <c r="BS40" s="45"/>
      <c r="BT40" s="45"/>
      <c r="BU40" s="177"/>
      <c r="BV40" s="177"/>
      <c r="BW40" s="177"/>
      <c r="BX40" s="177"/>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90"/>
      <c r="BC41" s="67"/>
      <c r="BD41" s="45"/>
      <c r="BE41" s="44"/>
      <c r="BF41" s="45"/>
      <c r="BG41" s="45"/>
      <c r="BH41" s="44"/>
      <c r="BI41" s="44"/>
      <c r="BJ41" s="178"/>
      <c r="BK41" s="178"/>
      <c r="BL41" s="178"/>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91"/>
      <c r="BC42" s="64"/>
      <c r="BD42" s="39"/>
      <c r="BE42" s="38"/>
      <c r="BF42" s="39"/>
      <c r="BG42" s="39"/>
      <c r="BH42" s="38"/>
      <c r="BI42" s="38"/>
      <c r="BJ42" s="38"/>
      <c r="BK42" s="38"/>
      <c r="BL42" s="38"/>
      <c r="BM42" s="162"/>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91"/>
      <c r="BC43" s="64"/>
      <c r="BD43" s="39"/>
      <c r="BE43" s="38"/>
      <c r="BF43" s="39"/>
      <c r="BG43" s="39"/>
      <c r="BH43" s="38"/>
      <c r="BI43" s="38"/>
      <c r="BJ43" s="38"/>
      <c r="BK43" s="38"/>
      <c r="BL43" s="38"/>
      <c r="BM43" s="38"/>
      <c r="BN43" s="162"/>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91"/>
      <c r="BC44" s="64"/>
      <c r="BD44" s="39"/>
      <c r="BE44" s="38"/>
      <c r="BF44" s="39"/>
      <c r="BG44" s="39"/>
      <c r="BH44" s="38"/>
      <c r="BI44" s="38"/>
      <c r="BJ44" s="38"/>
      <c r="BK44" s="38"/>
      <c r="BL44" s="38"/>
      <c r="BM44" s="38"/>
      <c r="BN44" s="38"/>
      <c r="BO44" s="162"/>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91"/>
      <c r="BC45" s="64"/>
      <c r="BD45" s="39"/>
      <c r="BE45" s="38"/>
      <c r="BF45" s="39"/>
      <c r="BG45" s="39"/>
      <c r="BH45" s="38"/>
      <c r="BI45" s="38"/>
      <c r="BJ45" s="38"/>
      <c r="BK45" s="38"/>
      <c r="BL45" s="38"/>
      <c r="BM45" s="38"/>
      <c r="BN45" s="38"/>
      <c r="BO45" s="38"/>
      <c r="BP45" s="162"/>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91"/>
      <c r="BC46" s="64"/>
      <c r="BD46" s="39"/>
      <c r="BE46" s="38"/>
      <c r="BF46" s="39"/>
      <c r="BG46" s="39"/>
      <c r="BH46" s="38"/>
      <c r="BI46" s="38"/>
      <c r="BJ46" s="38"/>
      <c r="BK46" s="38"/>
      <c r="BL46" s="38"/>
      <c r="BM46" s="38"/>
      <c r="BN46" s="38"/>
      <c r="BO46" s="38"/>
      <c r="BP46" s="38"/>
      <c r="BQ46" s="162"/>
      <c r="BR46" s="162"/>
      <c r="BS46" s="162"/>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91"/>
      <c r="BC47" s="64"/>
      <c r="BD47" s="39"/>
      <c r="BE47" s="38"/>
      <c r="BF47" s="39"/>
      <c r="BG47" s="156"/>
      <c r="BH47" s="162"/>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91"/>
      <c r="BC48" s="64"/>
      <c r="BD48" s="39"/>
      <c r="BE48" s="38"/>
      <c r="BF48" s="39"/>
      <c r="BG48" s="39"/>
      <c r="BH48" s="38"/>
      <c r="BI48" s="162"/>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91"/>
      <c r="BC49" s="64"/>
      <c r="BD49" s="39"/>
      <c r="BE49" s="38"/>
      <c r="BF49" s="39"/>
      <c r="BG49" s="39"/>
      <c r="BH49" s="38"/>
      <c r="BI49" s="38"/>
      <c r="BJ49" s="38"/>
      <c r="BK49" s="38"/>
      <c r="BL49" s="38"/>
      <c r="BM49" s="38"/>
      <c r="BN49" s="38"/>
      <c r="BO49" s="38"/>
      <c r="BP49" s="38"/>
      <c r="BQ49" s="38"/>
      <c r="BR49" s="38"/>
      <c r="BS49" s="38"/>
      <c r="BT49" s="162"/>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91"/>
      <c r="BC50" s="64"/>
      <c r="BD50" s="39"/>
      <c r="BE50" s="38"/>
      <c r="BF50" s="39"/>
      <c r="BG50" s="39"/>
      <c r="BH50" s="38"/>
      <c r="BI50" s="38"/>
      <c r="BJ50" s="38"/>
      <c r="BK50" s="38"/>
      <c r="BL50" s="38"/>
      <c r="BM50" s="38"/>
      <c r="BN50" s="38"/>
      <c r="BO50" s="38"/>
      <c r="BP50" s="38"/>
      <c r="BQ50" s="38"/>
      <c r="BR50" s="38"/>
      <c r="BS50" s="38"/>
      <c r="BT50" s="38"/>
      <c r="BU50" s="39"/>
      <c r="BV50" s="39"/>
      <c r="BW50" s="39"/>
      <c r="BX50" s="39"/>
      <c r="BY50" s="156"/>
      <c r="BZ50" s="156"/>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62"/>
      <c r="AX51" s="162"/>
      <c r="AY51" s="38"/>
      <c r="AZ51" s="38"/>
      <c r="BA51" s="38"/>
      <c r="BB51" s="191"/>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62"/>
      <c r="AZ52" s="162"/>
      <c r="BA52" s="38"/>
      <c r="BB52" s="191"/>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91"/>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91"/>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92"/>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25"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26"/>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6"/>
      <c r="D58" s="185"/>
      <c r="E58" s="185"/>
      <c r="F58" s="185"/>
      <c r="G58" s="185"/>
      <c r="H58" s="185"/>
      <c r="I58" s="185"/>
      <c r="J58" s="185"/>
      <c r="K58" s="185"/>
      <c r="L58" s="185"/>
      <c r="M58" s="185"/>
      <c r="N58" s="185"/>
      <c r="O58" s="181"/>
      <c r="P58" s="181"/>
      <c r="Q58" s="181"/>
      <c r="R58" s="181"/>
      <c r="S58" s="181"/>
      <c r="T58" s="181"/>
      <c r="U58" s="181"/>
      <c r="V58" s="181"/>
      <c r="W58" s="181"/>
      <c r="X58" s="181"/>
      <c r="Y58" s="181"/>
      <c r="Z58" s="181"/>
      <c r="AA58" s="181"/>
      <c r="AB58" s="181"/>
      <c r="AC58" s="181"/>
      <c r="AD58" s="181"/>
      <c r="AE58" s="181"/>
      <c r="AF58" s="181"/>
      <c r="AG58" s="186"/>
      <c r="AH58" s="185"/>
      <c r="AI58" s="185"/>
      <c r="AJ58" s="185"/>
      <c r="AK58" s="185"/>
      <c r="AL58" s="185"/>
      <c r="AM58" s="185"/>
      <c r="AN58" s="185"/>
      <c r="AO58" s="185"/>
      <c r="AP58" s="185"/>
      <c r="AQ58" s="185"/>
      <c r="AR58" s="185"/>
      <c r="AS58" s="181"/>
      <c r="AT58" s="181"/>
      <c r="AU58" s="181"/>
      <c r="AV58" s="181"/>
      <c r="AW58" s="181"/>
      <c r="AX58" s="181"/>
      <c r="AY58" s="181"/>
      <c r="AZ58" s="181"/>
      <c r="BA58" s="181"/>
      <c r="BB58" s="181"/>
      <c r="BC58" s="182"/>
      <c r="BD58" s="183"/>
      <c r="BE58" s="183"/>
      <c r="BF58" s="183"/>
      <c r="BG58" s="183"/>
      <c r="BH58" s="183"/>
      <c r="BI58" s="183"/>
      <c r="BJ58" s="183"/>
      <c r="BK58" s="183"/>
      <c r="BL58" s="183"/>
      <c r="BM58" s="183"/>
      <c r="BN58" s="183"/>
      <c r="BO58" s="184"/>
      <c r="BP58" s="184"/>
      <c r="BQ58" s="184"/>
      <c r="BR58" s="184"/>
      <c r="BS58" s="184"/>
      <c r="BT58" s="184"/>
      <c r="BU58" s="184"/>
      <c r="BV58" s="184"/>
      <c r="BW58" s="184"/>
      <c r="BX58" s="184"/>
      <c r="BY58" s="184"/>
      <c r="BZ58" s="184"/>
      <c r="CA58" s="184"/>
      <c r="CB58" s="184"/>
      <c r="CC58" s="184"/>
      <c r="CD58" s="184"/>
      <c r="CE58" s="184"/>
      <c r="CF58" s="193"/>
      <c r="CG58" s="185"/>
      <c r="CH58" s="185"/>
      <c r="CI58" s="185"/>
      <c r="CJ58" s="185"/>
      <c r="CK58" s="181"/>
      <c r="CL58" s="181"/>
      <c r="CM58" s="181"/>
      <c r="CN58" s="181"/>
      <c r="CO58" s="181"/>
      <c r="CP58" s="181"/>
      <c r="CQ58" s="181"/>
      <c r="CR58" s="181"/>
      <c r="CS58" s="181"/>
      <c r="CT58" s="181"/>
      <c r="CU58" s="181"/>
      <c r="CV58" s="181"/>
      <c r="CW58" s="181"/>
      <c r="CX58" s="181"/>
      <c r="CY58" s="181"/>
      <c r="CZ58" s="181"/>
      <c r="DA58" s="181"/>
      <c r="DB58" s="181"/>
      <c r="DC58" s="186"/>
      <c r="DD58" s="185"/>
      <c r="DE58" s="185"/>
      <c r="DF58" s="185"/>
      <c r="DG58" s="185"/>
      <c r="DH58" s="185"/>
      <c r="DI58" s="185"/>
      <c r="DJ58" s="185"/>
      <c r="DK58" s="185"/>
      <c r="DL58" s="185"/>
      <c r="DM58" s="185"/>
      <c r="DN58" s="185"/>
      <c r="DO58" s="181"/>
      <c r="DP58" s="181"/>
      <c r="DQ58" s="181"/>
      <c r="DR58" s="181"/>
      <c r="DS58" s="187"/>
    </row>
    <row r="59" spans="2:123" x14ac:dyDescent="0.25">
      <c r="B59" s="1" t="str">
        <f>Base!I50</f>
        <v>402 journal de travail</v>
      </c>
      <c r="C59" s="163"/>
      <c r="D59" s="164"/>
      <c r="E59" s="164"/>
      <c r="F59" s="164"/>
      <c r="G59" s="164"/>
      <c r="H59" s="164"/>
      <c r="I59" s="164"/>
      <c r="J59" s="164"/>
      <c r="K59" s="164"/>
      <c r="L59" s="164"/>
      <c r="M59" s="164"/>
      <c r="N59" s="164"/>
      <c r="O59" s="165"/>
      <c r="P59" s="165"/>
      <c r="Q59" s="165"/>
      <c r="R59" s="165"/>
      <c r="S59" s="165"/>
      <c r="T59" s="165"/>
      <c r="U59" s="165"/>
      <c r="V59" s="165"/>
      <c r="W59" s="165"/>
      <c r="X59" s="165"/>
      <c r="Y59" s="165"/>
      <c r="Z59" s="165"/>
      <c r="AA59" s="165"/>
      <c r="AB59" s="165"/>
      <c r="AC59" s="165"/>
      <c r="AD59" s="165"/>
      <c r="AE59" s="165"/>
      <c r="AF59" s="165"/>
      <c r="AG59" s="163"/>
      <c r="AH59" s="164"/>
      <c r="AI59" s="164"/>
      <c r="AJ59" s="164"/>
      <c r="AK59" s="164"/>
      <c r="AL59" s="164"/>
      <c r="AM59" s="164"/>
      <c r="AN59" s="164"/>
      <c r="AO59" s="164"/>
      <c r="AP59" s="164"/>
      <c r="AQ59" s="164"/>
      <c r="AR59" s="164"/>
      <c r="AS59" s="165"/>
      <c r="AT59" s="165"/>
      <c r="AU59" s="165"/>
      <c r="AV59" s="165"/>
      <c r="AW59" s="165"/>
      <c r="AX59" s="165"/>
      <c r="AY59" s="165"/>
      <c r="AZ59" s="165"/>
      <c r="BA59" s="165"/>
      <c r="BB59" s="165"/>
      <c r="BC59" s="163"/>
      <c r="BD59" s="164"/>
      <c r="BE59" s="164"/>
      <c r="BF59" s="164"/>
      <c r="BG59" s="164"/>
      <c r="BH59" s="164"/>
      <c r="BI59" s="164"/>
      <c r="BJ59" s="164"/>
      <c r="BK59" s="164"/>
      <c r="BL59" s="164"/>
      <c r="BM59" s="164"/>
      <c r="BN59" s="164"/>
      <c r="BO59" s="165"/>
      <c r="BP59" s="165"/>
      <c r="BQ59" s="165"/>
      <c r="BR59" s="165"/>
      <c r="BS59" s="165"/>
      <c r="BT59" s="165"/>
      <c r="BU59" s="165"/>
      <c r="BV59" s="165"/>
      <c r="BW59" s="165"/>
      <c r="BX59" s="165"/>
      <c r="BY59" s="165"/>
      <c r="BZ59" s="165"/>
      <c r="CA59" s="165"/>
      <c r="CB59" s="165"/>
      <c r="CC59" s="165"/>
      <c r="CD59" s="165"/>
      <c r="CE59" s="165"/>
      <c r="CF59" s="166"/>
      <c r="CG59" s="164"/>
      <c r="CH59" s="164"/>
      <c r="CI59" s="164"/>
      <c r="CJ59" s="164"/>
      <c r="CK59" s="165"/>
      <c r="CL59" s="165"/>
      <c r="CM59" s="165"/>
      <c r="CN59" s="165"/>
      <c r="CO59" s="165"/>
      <c r="CP59" s="165"/>
      <c r="CQ59" s="165"/>
      <c r="CR59" s="165"/>
      <c r="CS59" s="165"/>
      <c r="CT59" s="165"/>
      <c r="CU59" s="165"/>
      <c r="CV59" s="165"/>
      <c r="CW59" s="165"/>
      <c r="CX59" s="165"/>
      <c r="CY59" s="165"/>
      <c r="CZ59" s="165"/>
      <c r="DA59" s="165"/>
      <c r="DB59" s="165"/>
      <c r="DC59" s="163"/>
      <c r="DD59" s="164"/>
      <c r="DE59" s="164"/>
      <c r="DF59" s="164"/>
      <c r="DG59" s="164"/>
      <c r="DH59" s="164"/>
      <c r="DI59" s="164"/>
      <c r="DJ59" s="164"/>
      <c r="DK59" s="164"/>
      <c r="DL59" s="164"/>
      <c r="DM59" s="164"/>
      <c r="DN59" s="164"/>
      <c r="DO59" s="165"/>
      <c r="DP59" s="165"/>
      <c r="DQ59" s="165"/>
      <c r="DR59" s="165"/>
      <c r="DS59" s="166"/>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60"/>
      <c r="DN60" s="160"/>
      <c r="DO60" s="161"/>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61"/>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60"/>
      <c r="DL61" s="160"/>
      <c r="DM61" s="39"/>
      <c r="DN61" s="39"/>
      <c r="DO61" s="38"/>
      <c r="DP61" s="38"/>
      <c r="DQ61" s="38"/>
      <c r="DR61" s="38"/>
      <c r="DS61" s="60"/>
    </row>
    <row r="62" spans="2:123" x14ac:dyDescent="0.25">
      <c r="B62" s="1" t="str">
        <f>Base!I53</f>
        <v>405 mise en place du GitHub</v>
      </c>
      <c r="C62" s="64"/>
      <c r="D62" s="39"/>
      <c r="E62" s="39"/>
      <c r="F62" s="160"/>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7"/>
      <c r="K63" s="41"/>
      <c r="L63" s="41"/>
      <c r="M63" s="41"/>
      <c r="N63" s="41"/>
      <c r="O63" s="168"/>
      <c r="P63" s="40"/>
      <c r="Q63" s="40"/>
      <c r="R63" s="40"/>
      <c r="S63" s="40"/>
      <c r="T63" s="40"/>
      <c r="U63" s="40"/>
      <c r="V63" s="40"/>
      <c r="W63" s="40"/>
      <c r="X63" s="40"/>
      <c r="Y63" s="40"/>
      <c r="Z63" s="40"/>
      <c r="AA63" s="40"/>
      <c r="AB63" s="40"/>
      <c r="AC63" s="40"/>
      <c r="AD63" s="40"/>
      <c r="AE63" s="40"/>
      <c r="AF63" s="168"/>
      <c r="AG63" s="66"/>
      <c r="AH63" s="41"/>
      <c r="AI63" s="41"/>
      <c r="AJ63" s="41"/>
      <c r="AK63" s="41"/>
      <c r="AL63" s="41"/>
      <c r="AM63" s="41"/>
      <c r="AN63" s="41"/>
      <c r="AO63" s="41"/>
      <c r="AP63" s="41"/>
      <c r="AQ63" s="41"/>
      <c r="AR63" s="41"/>
      <c r="AS63" s="168"/>
      <c r="AT63" s="40"/>
      <c r="AU63" s="40"/>
      <c r="AV63" s="40"/>
      <c r="AW63" s="40"/>
      <c r="AX63" s="40"/>
      <c r="AY63" s="40"/>
      <c r="AZ63" s="40"/>
      <c r="BA63" s="40"/>
      <c r="BB63" s="168"/>
      <c r="BC63" s="65"/>
      <c r="BD63" s="59"/>
      <c r="BE63" s="59"/>
      <c r="BF63" s="59"/>
      <c r="BG63" s="59"/>
      <c r="BH63" s="59"/>
      <c r="BI63" s="59"/>
      <c r="BJ63" s="59"/>
      <c r="BK63" s="59"/>
      <c r="BL63" s="59"/>
      <c r="BM63" s="59"/>
      <c r="BN63" s="59"/>
      <c r="BO63" s="169"/>
      <c r="BP63" s="58"/>
      <c r="BQ63" s="58"/>
      <c r="BR63" s="58"/>
      <c r="BS63" s="58"/>
      <c r="BT63" s="58"/>
      <c r="BU63" s="58"/>
      <c r="BV63" s="58"/>
      <c r="BW63" s="58"/>
      <c r="BX63" s="58"/>
      <c r="BY63" s="58"/>
      <c r="BZ63" s="58"/>
      <c r="CA63" s="58"/>
      <c r="CB63" s="58"/>
      <c r="CC63" s="58"/>
      <c r="CD63" s="58"/>
      <c r="CE63" s="58"/>
      <c r="CF63" s="194"/>
      <c r="CG63" s="41"/>
      <c r="CH63" s="41"/>
      <c r="CI63" s="41"/>
      <c r="CJ63" s="41"/>
      <c r="CK63" s="168"/>
      <c r="CL63" s="40"/>
      <c r="CM63" s="40"/>
      <c r="CN63" s="40"/>
      <c r="CO63" s="40"/>
      <c r="CP63" s="40"/>
      <c r="CQ63" s="40"/>
      <c r="CR63" s="40"/>
      <c r="CS63" s="40"/>
      <c r="CT63" s="40"/>
      <c r="CU63" s="40"/>
      <c r="CV63" s="40"/>
      <c r="CW63" s="40"/>
      <c r="CX63" s="40"/>
      <c r="CY63" s="40"/>
      <c r="CZ63" s="40"/>
      <c r="DA63" s="40"/>
      <c r="DB63" s="168"/>
      <c r="DC63" s="66"/>
      <c r="DD63" s="41"/>
      <c r="DE63" s="41"/>
      <c r="DF63" s="41"/>
      <c r="DG63" s="41"/>
      <c r="DH63" s="41"/>
      <c r="DI63" s="41"/>
      <c r="DJ63" s="41"/>
      <c r="DK63" s="41"/>
      <c r="DL63" s="41"/>
      <c r="DM63" s="41"/>
      <c r="DN63" s="41"/>
      <c r="DO63" s="40"/>
      <c r="DP63" s="40"/>
      <c r="DQ63" s="40"/>
      <c r="DR63" s="168"/>
      <c r="DS63" s="170"/>
    </row>
    <row r="64" spans="2:123" ht="15" customHeight="1" x14ac:dyDescent="0.25">
      <c r="B64" s="227"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28"/>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81"/>
      <c r="AX66" s="181"/>
      <c r="AY66" s="181"/>
      <c r="AZ66" s="181"/>
      <c r="BA66" s="181"/>
      <c r="BB66" s="181"/>
      <c r="BC66" s="182"/>
      <c r="BD66" s="183"/>
      <c r="BE66" s="183"/>
      <c r="BF66" s="183"/>
      <c r="BG66" s="183"/>
      <c r="BH66" s="183"/>
      <c r="BI66" s="183"/>
      <c r="BJ66" s="183"/>
      <c r="BK66" s="183"/>
      <c r="BL66" s="183"/>
      <c r="BM66" s="183"/>
      <c r="BN66" s="183"/>
      <c r="BO66" s="184"/>
      <c r="BP66" s="184"/>
      <c r="BQ66" s="184"/>
      <c r="BR66" s="184"/>
      <c r="BS66" s="184"/>
      <c r="BT66" s="184"/>
      <c r="BU66" s="184"/>
      <c r="BV66" s="184"/>
      <c r="BW66" s="184"/>
      <c r="BX66" s="184"/>
      <c r="BY66" s="184"/>
      <c r="BZ66" s="184"/>
      <c r="CA66" s="184"/>
      <c r="CB66" s="184"/>
      <c r="CC66" s="184"/>
      <c r="CD66" s="184"/>
      <c r="CE66" s="184"/>
      <c r="CF66" s="193"/>
      <c r="CG66" s="185"/>
      <c r="CH66" s="185"/>
      <c r="CI66" s="185"/>
      <c r="CJ66" s="185"/>
      <c r="CK66" s="181"/>
      <c r="CL66" s="181"/>
      <c r="CM66" s="181"/>
      <c r="CN66" s="181"/>
      <c r="CO66" s="181"/>
      <c r="CP66" s="181"/>
      <c r="CQ66" s="181"/>
      <c r="CR66" s="181"/>
      <c r="CS66" s="181"/>
      <c r="CT66" s="181"/>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3"/>
      <c r="BD67" s="164"/>
      <c r="BE67" s="164"/>
      <c r="BF67" s="164"/>
      <c r="BG67" s="164"/>
      <c r="BH67" s="164"/>
      <c r="BI67" s="164"/>
      <c r="BJ67" s="164"/>
      <c r="BK67" s="164"/>
      <c r="BL67" s="164"/>
      <c r="BM67" s="164"/>
      <c r="BN67" s="164"/>
      <c r="BO67" s="165"/>
      <c r="BP67" s="165"/>
      <c r="BQ67" s="165"/>
      <c r="BR67" s="165"/>
      <c r="BS67" s="165"/>
      <c r="BT67" s="165"/>
      <c r="BU67" s="165"/>
      <c r="BV67" s="165"/>
      <c r="BW67" s="165"/>
      <c r="BX67" s="165"/>
      <c r="BY67" s="165"/>
      <c r="BZ67" s="165"/>
      <c r="CA67" s="165"/>
      <c r="CB67" s="165"/>
      <c r="CC67" s="165"/>
      <c r="CD67" s="165"/>
      <c r="CE67" s="165"/>
      <c r="CF67" s="166"/>
      <c r="CG67" s="164"/>
      <c r="CH67" s="164"/>
      <c r="CI67" s="164"/>
      <c r="CJ67" s="164"/>
      <c r="CK67" s="165"/>
      <c r="CL67" s="165"/>
      <c r="CM67" s="165"/>
      <c r="CN67" s="165"/>
      <c r="CO67" s="165"/>
      <c r="CP67" s="165"/>
      <c r="CQ67" s="165"/>
      <c r="CR67" s="165"/>
      <c r="CS67" s="165"/>
      <c r="CT67" s="165"/>
      <c r="CU67" s="165"/>
      <c r="CV67" s="165"/>
      <c r="CW67" s="165"/>
      <c r="CX67" s="165"/>
      <c r="CY67" s="165"/>
      <c r="CZ67" s="165"/>
      <c r="DA67" s="165"/>
      <c r="DB67" s="165"/>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3"/>
      <c r="BD68" s="164"/>
      <c r="BE68" s="164"/>
      <c r="BF68" s="164"/>
      <c r="BG68" s="164"/>
      <c r="BH68" s="164"/>
      <c r="BI68" s="164"/>
      <c r="BJ68" s="164"/>
      <c r="BK68" s="164"/>
      <c r="BL68" s="164"/>
      <c r="BM68" s="164"/>
      <c r="BN68" s="164"/>
      <c r="BO68" s="165"/>
      <c r="BP68" s="165"/>
      <c r="BQ68" s="165"/>
      <c r="BR68" s="165"/>
      <c r="BS68" s="165"/>
      <c r="BT68" s="165"/>
      <c r="BU68" s="165"/>
      <c r="BV68" s="165"/>
      <c r="BW68" s="165"/>
      <c r="BX68" s="165"/>
      <c r="BY68" s="165"/>
      <c r="BZ68" s="165"/>
      <c r="CA68" s="165"/>
      <c r="CB68" s="165"/>
      <c r="CC68" s="165"/>
      <c r="CD68" s="165"/>
      <c r="CE68" s="165"/>
      <c r="CF68" s="166"/>
      <c r="CG68" s="164"/>
      <c r="CH68" s="164"/>
      <c r="CI68" s="164"/>
      <c r="CJ68" s="164"/>
      <c r="CK68" s="165"/>
      <c r="CL68" s="165"/>
      <c r="CM68" s="165"/>
      <c r="CN68" s="165"/>
      <c r="CO68" s="165"/>
      <c r="CP68" s="165"/>
      <c r="CQ68" s="165"/>
      <c r="CR68" s="165"/>
      <c r="CS68" s="165"/>
      <c r="CT68" s="165"/>
      <c r="CU68" s="165"/>
      <c r="CV68" s="165"/>
      <c r="CW68" s="165"/>
      <c r="CX68" s="165"/>
      <c r="CY68" s="165"/>
      <c r="CZ68" s="165"/>
      <c r="DA68" s="165"/>
      <c r="DB68" s="165"/>
      <c r="DC68" s="163"/>
      <c r="DD68" s="164"/>
      <c r="DE68" s="164"/>
      <c r="DF68" s="164"/>
      <c r="DG68" s="164"/>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5"/>
      <c r="AX69" s="165"/>
      <c r="AY69" s="165"/>
      <c r="AZ69" s="165"/>
      <c r="BA69" s="165"/>
      <c r="BB69" s="165"/>
      <c r="BC69" s="163"/>
      <c r="BD69" s="164"/>
      <c r="BE69" s="164"/>
      <c r="BF69" s="164"/>
      <c r="BG69" s="164"/>
      <c r="BH69" s="164"/>
      <c r="BI69" s="164"/>
      <c r="BJ69" s="164"/>
      <c r="BK69" s="164"/>
      <c r="BL69" s="164"/>
      <c r="BM69" s="164"/>
      <c r="BN69" s="164"/>
      <c r="BO69" s="165"/>
      <c r="BP69" s="165"/>
      <c r="BQ69" s="165"/>
      <c r="BR69" s="165"/>
      <c r="BS69" s="165"/>
      <c r="BT69" s="165"/>
      <c r="BU69" s="165"/>
      <c r="BV69" s="165"/>
      <c r="BW69" s="165"/>
      <c r="BX69" s="165"/>
      <c r="BY69" s="165"/>
      <c r="BZ69" s="165"/>
      <c r="CA69" s="165"/>
      <c r="CB69" s="165"/>
      <c r="CC69" s="165"/>
      <c r="CD69" s="165"/>
      <c r="CE69" s="165"/>
      <c r="CF69" s="166"/>
      <c r="CG69" s="164"/>
      <c r="CH69" s="164"/>
      <c r="CI69" s="164"/>
      <c r="CJ69" s="164"/>
      <c r="CK69" s="165"/>
      <c r="CL69" s="165"/>
      <c r="CM69" s="165"/>
      <c r="CN69" s="165"/>
      <c r="CO69" s="165"/>
      <c r="CP69" s="165"/>
      <c r="CQ69" s="165"/>
      <c r="CR69" s="165"/>
      <c r="CS69" s="165"/>
      <c r="CT69" s="165"/>
      <c r="CU69" s="165"/>
      <c r="CV69" s="165"/>
      <c r="CW69" s="165"/>
      <c r="CX69" s="165"/>
      <c r="CY69" s="165"/>
      <c r="CZ69" s="165"/>
      <c r="DA69" s="165"/>
      <c r="DB69" s="165"/>
      <c r="DC69" s="163"/>
      <c r="DD69" s="164"/>
      <c r="DE69" s="164"/>
      <c r="DF69" s="164"/>
      <c r="DG69" s="164"/>
      <c r="DH69" s="158"/>
      <c r="DI69" s="158"/>
      <c r="DJ69" s="158"/>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15" t="str">
        <f>Base!H61</f>
        <v>Réunion</v>
      </c>
      <c r="C72" s="122"/>
      <c r="D72" s="123"/>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c r="BS72" s="123"/>
      <c r="BT72" s="123"/>
      <c r="BU72" s="123"/>
      <c r="BV72" s="123"/>
      <c r="BW72" s="123"/>
      <c r="BX72" s="123"/>
      <c r="BY72" s="123"/>
      <c r="BZ72" s="123"/>
      <c r="CA72" s="123"/>
      <c r="CB72" s="123"/>
      <c r="CC72" s="123"/>
      <c r="CD72" s="123"/>
      <c r="CE72" s="123"/>
      <c r="CF72" s="123"/>
      <c r="CG72" s="123"/>
      <c r="CH72" s="123"/>
      <c r="CI72" s="123"/>
      <c r="CJ72" s="123"/>
      <c r="CK72" s="123"/>
      <c r="CL72" s="123"/>
      <c r="CM72" s="123"/>
      <c r="CN72" s="123"/>
      <c r="CO72" s="123"/>
      <c r="CP72" s="123"/>
      <c r="CQ72" s="123"/>
      <c r="CR72" s="123"/>
      <c r="CS72" s="123"/>
      <c r="CT72" s="123"/>
      <c r="CU72" s="123"/>
      <c r="CV72" s="123"/>
      <c r="CW72" s="123"/>
      <c r="CX72" s="123"/>
      <c r="CY72" s="123"/>
      <c r="CZ72" s="123"/>
      <c r="DA72" s="123"/>
      <c r="DB72" s="123"/>
      <c r="DC72" s="123"/>
      <c r="DD72" s="123"/>
      <c r="DE72" s="123"/>
      <c r="DF72" s="123"/>
      <c r="DG72" s="123"/>
      <c r="DH72" s="123"/>
      <c r="DI72" s="123"/>
      <c r="DJ72" s="123"/>
      <c r="DK72" s="123"/>
      <c r="DL72" s="123"/>
      <c r="DM72" s="123"/>
      <c r="DN72" s="123"/>
      <c r="DO72" s="123"/>
      <c r="DP72" s="123"/>
      <c r="DQ72" s="123"/>
      <c r="DR72" s="123"/>
      <c r="DS72" s="124"/>
    </row>
    <row r="73" spans="2:125" ht="15.75" customHeight="1" thickBot="1" x14ac:dyDescent="0.3">
      <c r="B73" s="216"/>
      <c r="C73" s="1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126"/>
      <c r="AB73" s="126"/>
      <c r="AC73" s="126"/>
      <c r="AD73" s="126"/>
      <c r="AE73" s="126"/>
      <c r="AF73" s="126"/>
      <c r="AG73" s="126"/>
      <c r="AH73" s="126"/>
      <c r="AI73" s="126"/>
      <c r="AJ73" s="126"/>
      <c r="AK73" s="126"/>
      <c r="AL73" s="126"/>
      <c r="AM73" s="126"/>
      <c r="AN73" s="126"/>
      <c r="AO73" s="126"/>
      <c r="AP73" s="126"/>
      <c r="AQ73" s="126"/>
      <c r="AR73" s="126"/>
      <c r="AS73" s="126"/>
      <c r="AT73" s="126"/>
      <c r="AU73" s="126"/>
      <c r="AV73" s="126"/>
      <c r="AW73" s="126"/>
      <c r="AX73" s="126"/>
      <c r="AY73" s="126"/>
      <c r="AZ73" s="126"/>
      <c r="BA73" s="126"/>
      <c r="BB73" s="126"/>
      <c r="BC73" s="126"/>
      <c r="BD73" s="126"/>
      <c r="BE73" s="126"/>
      <c r="BF73" s="126"/>
      <c r="BG73" s="126"/>
      <c r="BH73" s="126"/>
      <c r="BI73" s="126"/>
      <c r="BJ73" s="126"/>
      <c r="BK73" s="126"/>
      <c r="BL73" s="126"/>
      <c r="BM73" s="126"/>
      <c r="BN73" s="126"/>
      <c r="BO73" s="126"/>
      <c r="BP73" s="126"/>
      <c r="BQ73" s="126"/>
      <c r="BR73" s="126"/>
      <c r="BS73" s="126"/>
      <c r="BT73" s="126"/>
      <c r="BU73" s="126"/>
      <c r="BV73" s="126"/>
      <c r="BW73" s="126"/>
      <c r="BX73" s="126"/>
      <c r="BY73" s="126"/>
      <c r="BZ73" s="126"/>
      <c r="CA73" s="126"/>
      <c r="CB73" s="126"/>
      <c r="CC73" s="126"/>
      <c r="CD73" s="126"/>
      <c r="CE73" s="126"/>
      <c r="CF73" s="126"/>
      <c r="CG73" s="126"/>
      <c r="CH73" s="126"/>
      <c r="CI73" s="126"/>
      <c r="CJ73" s="126"/>
      <c r="CK73" s="126"/>
      <c r="CL73" s="126"/>
      <c r="CM73" s="126"/>
      <c r="CN73" s="126"/>
      <c r="CO73" s="126"/>
      <c r="CP73" s="126"/>
      <c r="CQ73" s="126"/>
      <c r="CR73" s="126"/>
      <c r="CS73" s="126"/>
      <c r="CT73" s="126"/>
      <c r="CU73" s="126"/>
      <c r="CV73" s="126"/>
      <c r="CW73" s="126"/>
      <c r="CX73" s="126"/>
      <c r="CY73" s="126"/>
      <c r="CZ73" s="126"/>
      <c r="DA73" s="126"/>
      <c r="DB73" s="126"/>
      <c r="DC73" s="126"/>
      <c r="DD73" s="126"/>
      <c r="DE73" s="126"/>
      <c r="DF73" s="126"/>
      <c r="DG73" s="126"/>
      <c r="DH73" s="126"/>
      <c r="DI73" s="126"/>
      <c r="DJ73" s="126"/>
      <c r="DK73" s="126"/>
      <c r="DL73" s="126"/>
      <c r="DM73" s="126"/>
      <c r="DN73" s="126"/>
      <c r="DO73" s="126"/>
      <c r="DP73" s="126"/>
      <c r="DQ73" s="126"/>
      <c r="DR73" s="126"/>
      <c r="DS73" s="127"/>
    </row>
    <row r="74" spans="2:125" ht="30" x14ac:dyDescent="0.25">
      <c r="B74" s="128" t="str">
        <f>Base!I61</f>
        <v>601 réunion avec monsieur C.Egger, CdP</v>
      </c>
      <c r="C74" s="154"/>
      <c r="D74" s="45"/>
      <c r="E74" s="45"/>
      <c r="F74" s="45"/>
      <c r="G74" s="45"/>
      <c r="H74" s="45"/>
      <c r="I74" s="45"/>
      <c r="J74" s="45"/>
      <c r="K74" s="45"/>
      <c r="L74" s="45"/>
      <c r="M74" s="45"/>
      <c r="N74" s="45"/>
      <c r="O74" s="44"/>
      <c r="P74" s="44"/>
      <c r="Q74" s="44"/>
      <c r="R74" s="203"/>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1"/>
      <c r="BD74" s="112"/>
      <c r="BE74" s="112"/>
      <c r="BF74" s="112"/>
      <c r="BG74" s="112"/>
      <c r="BH74" s="112"/>
      <c r="BI74" s="112"/>
      <c r="BJ74" s="112"/>
      <c r="BK74" s="112"/>
      <c r="BL74" s="112"/>
      <c r="BM74" s="112"/>
      <c r="BN74" s="112"/>
      <c r="BO74" s="113"/>
      <c r="BP74" s="113"/>
      <c r="BQ74" s="113"/>
      <c r="BR74" s="113"/>
      <c r="BS74" s="113"/>
      <c r="BT74" s="113"/>
      <c r="BU74" s="113"/>
      <c r="BV74" s="113"/>
      <c r="BW74" s="113"/>
      <c r="BX74" s="113"/>
      <c r="BY74" s="113"/>
      <c r="BZ74" s="113"/>
      <c r="CA74" s="113"/>
      <c r="CB74" s="113"/>
      <c r="CC74" s="113"/>
      <c r="CD74" s="113"/>
      <c r="CE74" s="113"/>
      <c r="CF74" s="188"/>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9" t="str">
        <f>Base!I62</f>
        <v>602 réunion avec monsieur G.Gruaz, expert 1</v>
      </c>
      <c r="C75" s="155"/>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9" t="str">
        <f>Base!I63</f>
        <v>603 réunion avec monsieur A.Roy,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9"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4"/>
      <c r="AA77" s="38"/>
      <c r="AB77" s="38"/>
      <c r="AC77" s="38"/>
      <c r="AD77" s="204"/>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9"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30"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8"/>
      <c r="DO80" s="138"/>
      <c r="DP80" s="138"/>
      <c r="DQ80" s="138"/>
      <c r="DR80" s="138"/>
      <c r="DS80" s="138"/>
      <c r="DT80" s="33"/>
      <c r="DU80" s="33"/>
    </row>
    <row r="81" spans="3:125" x14ac:dyDescent="0.25">
      <c r="C81" s="148"/>
      <c r="D81" s="39"/>
      <c r="G81" s="214" t="s">
        <v>72</v>
      </c>
      <c r="H81" s="214"/>
      <c r="I81" s="214"/>
      <c r="J81" s="214"/>
      <c r="K81" s="214"/>
      <c r="L81" s="214"/>
      <c r="M81" s="214"/>
      <c r="N81" s="214"/>
      <c r="O81" s="214"/>
      <c r="P81" s="214"/>
      <c r="Q81" s="214"/>
      <c r="R81" s="214"/>
      <c r="S81" s="214"/>
      <c r="T81" s="214"/>
      <c r="U81" s="214"/>
      <c r="V81" s="214"/>
      <c r="W81" s="214"/>
      <c r="X81" s="214"/>
      <c r="Y81" s="214"/>
      <c r="Z81" s="214"/>
      <c r="AA81" s="214"/>
      <c r="AB81" s="214"/>
      <c r="AC81" s="214"/>
      <c r="AD81" s="214"/>
      <c r="AE81" s="214"/>
      <c r="AF81" s="214"/>
      <c r="DT81" s="33"/>
      <c r="DU81" s="33"/>
    </row>
    <row r="82" spans="3:125" x14ac:dyDescent="0.25">
      <c r="DT82" s="33"/>
      <c r="DU82" s="33"/>
    </row>
    <row r="83" spans="3:125" x14ac:dyDescent="0.25">
      <c r="D83" s="150"/>
      <c r="G83" s="214" t="s">
        <v>73</v>
      </c>
      <c r="H83" s="214"/>
      <c r="I83" s="214"/>
      <c r="J83" s="214"/>
      <c r="K83" s="214"/>
      <c r="L83" s="214"/>
      <c r="M83" s="214"/>
      <c r="N83" s="214"/>
      <c r="O83" s="214"/>
      <c r="P83" s="214"/>
      <c r="Q83" s="214"/>
      <c r="R83" s="214"/>
      <c r="S83" s="214"/>
      <c r="T83" s="214"/>
      <c r="U83" s="214"/>
      <c r="V83" s="214"/>
      <c r="W83" s="214"/>
      <c r="X83" s="214"/>
      <c r="Y83" s="214"/>
      <c r="Z83" s="214"/>
      <c r="AA83" s="214"/>
      <c r="AB83" s="214"/>
      <c r="AC83" s="214"/>
      <c r="AD83" s="214"/>
      <c r="AE83" s="214"/>
      <c r="AF83" s="214"/>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C3:J3"/>
    <mergeCell ref="K3:O3"/>
    <mergeCell ref="P3:X3"/>
    <mergeCell ref="Y3:AF3"/>
    <mergeCell ref="AG3:AN3"/>
    <mergeCell ref="AO3:AS3"/>
    <mergeCell ref="AT3:BB3"/>
    <mergeCell ref="BC3:BJ3"/>
    <mergeCell ref="BK3:BO3"/>
    <mergeCell ref="DK3:DO3"/>
    <mergeCell ref="DP3:DS3"/>
    <mergeCell ref="BP3:BX3"/>
    <mergeCell ref="BY3:CF3"/>
    <mergeCell ref="CG3:CK3"/>
    <mergeCell ref="CL3:CT3"/>
    <mergeCell ref="CU3:DB3"/>
    <mergeCell ref="DC3:DJ3"/>
    <mergeCell ref="G81:AF81"/>
    <mergeCell ref="G83:AF83"/>
    <mergeCell ref="B5:B6"/>
    <mergeCell ref="B13:B14"/>
    <mergeCell ref="B31:B32"/>
    <mergeCell ref="B56:B57"/>
    <mergeCell ref="B64:B65"/>
    <mergeCell ref="B72:B73"/>
    <mergeCell ref="C4:AF4"/>
    <mergeCell ref="AG4:BB4"/>
    <mergeCell ref="BC4:CF4"/>
    <mergeCell ref="CG4:DB4"/>
    <mergeCell ref="DC4:DS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19"/>
  <sheetViews>
    <sheetView topLeftCell="A78" zoomScale="85" zoomScaleNormal="85" workbookViewId="0">
      <selection activeCell="L90" sqref="L90"/>
    </sheetView>
  </sheetViews>
  <sheetFormatPr baseColWidth="10" defaultColWidth="11.42578125" defaultRowHeight="15" x14ac:dyDescent="0.25"/>
  <cols>
    <col min="1" max="1" width="2" style="17" customWidth="1"/>
    <col min="2" max="2" width="10.28515625" style="101" bestFit="1" customWidth="1"/>
    <col min="3" max="3" width="8.7109375" style="19" hidden="1" customWidth="1"/>
    <col min="4" max="4" width="32" style="19" customWidth="1"/>
    <col min="5" max="5" width="14.85546875" style="19" customWidth="1"/>
    <col min="6" max="6" width="12" style="19" customWidth="1"/>
    <col min="7" max="7" width="9.7109375" style="19" customWidth="1"/>
    <col min="8" max="8" width="85.7109375" style="19" customWidth="1"/>
    <col min="9" max="16384" width="11.42578125" style="17"/>
  </cols>
  <sheetData>
    <row r="1" spans="2:8" x14ac:dyDescent="0.25">
      <c r="C1" s="18" t="s">
        <v>2</v>
      </c>
      <c r="D1" s="235" t="str">
        <f>CONCATENATE(Base!C6," ",Base!D6)</f>
        <v>Costa Paola</v>
      </c>
      <c r="E1" s="235"/>
      <c r="G1" s="20" t="s">
        <v>25</v>
      </c>
      <c r="H1" s="205">
        <f ca="1">TODAY()</f>
        <v>44333</v>
      </c>
    </row>
    <row r="2" spans="2:8" ht="42.75" customHeight="1" thickBot="1" x14ac:dyDescent="0.3">
      <c r="B2" s="236" t="s">
        <v>10</v>
      </c>
      <c r="C2" s="236"/>
      <c r="D2" s="236"/>
      <c r="E2" s="236"/>
      <c r="F2" s="236"/>
      <c r="G2" s="236"/>
      <c r="H2" s="236"/>
    </row>
    <row r="3" spans="2:8" s="100" customFormat="1" ht="15.75" thickBot="1" x14ac:dyDescent="0.3">
      <c r="B3" s="102" t="s">
        <v>0</v>
      </c>
      <c r="C3" s="98" t="s">
        <v>9</v>
      </c>
      <c r="D3" s="198" t="s">
        <v>37</v>
      </c>
      <c r="E3" s="99" t="s">
        <v>26</v>
      </c>
      <c r="F3" s="99" t="s">
        <v>27</v>
      </c>
      <c r="G3" s="104" t="s">
        <v>28</v>
      </c>
      <c r="H3" s="206" t="s">
        <v>1</v>
      </c>
    </row>
    <row r="4" spans="2:8" ht="30" x14ac:dyDescent="0.25">
      <c r="B4" s="145">
        <v>44319</v>
      </c>
      <c r="C4" s="107">
        <f>IF(ISBLANK(B4),"",_xlfn.ISOWEEKNUM(B4))</f>
        <v>18</v>
      </c>
      <c r="D4" s="21" t="s">
        <v>64</v>
      </c>
      <c r="E4" s="173">
        <v>0.37152777777777773</v>
      </c>
      <c r="F4" s="171">
        <v>0.3888888888888889</v>
      </c>
      <c r="G4" s="105">
        <f>F4-E4</f>
        <v>1.736111111111116E-2</v>
      </c>
      <c r="H4" s="207" t="s">
        <v>104</v>
      </c>
    </row>
    <row r="5" spans="2:8" ht="45" x14ac:dyDescent="0.25">
      <c r="B5" s="145">
        <v>44319</v>
      </c>
      <c r="C5" s="107">
        <f t="shared" ref="C5:C112" si="0">IF(ISBLANK(B5),"",_xlfn.ISOWEEKNUM(B5))</f>
        <v>18</v>
      </c>
      <c r="D5" s="21" t="s">
        <v>63</v>
      </c>
      <c r="E5" s="172">
        <v>0.3888888888888889</v>
      </c>
      <c r="F5" s="171">
        <v>0.39930555555555558</v>
      </c>
      <c r="G5" s="105">
        <f t="shared" ref="G5:G112" si="1">F5-E5</f>
        <v>1.0416666666666685E-2</v>
      </c>
      <c r="H5" s="207" t="s">
        <v>105</v>
      </c>
    </row>
    <row r="6" spans="2:8" ht="30" x14ac:dyDescent="0.25">
      <c r="B6" s="145">
        <v>44319</v>
      </c>
      <c r="C6" s="107">
        <f t="shared" si="0"/>
        <v>18</v>
      </c>
      <c r="D6" s="21" t="s">
        <v>97</v>
      </c>
      <c r="E6" s="171">
        <v>0.41319444444444442</v>
      </c>
      <c r="F6" s="171">
        <v>0.4548611111111111</v>
      </c>
      <c r="G6" s="105">
        <f t="shared" si="1"/>
        <v>4.1666666666666685E-2</v>
      </c>
      <c r="H6" s="207" t="s">
        <v>107</v>
      </c>
    </row>
    <row r="7" spans="2:8" x14ac:dyDescent="0.25">
      <c r="B7" s="145">
        <v>44319</v>
      </c>
      <c r="C7" s="107">
        <f t="shared" si="0"/>
        <v>18</v>
      </c>
      <c r="D7" s="21" t="s">
        <v>50</v>
      </c>
      <c r="E7" s="171">
        <v>0.4548611111111111</v>
      </c>
      <c r="F7" s="171">
        <v>0.45833333333333331</v>
      </c>
      <c r="G7" s="105">
        <f t="shared" si="1"/>
        <v>3.4722222222222099E-3</v>
      </c>
      <c r="H7" s="207" t="s">
        <v>108</v>
      </c>
    </row>
    <row r="8" spans="2:8" x14ac:dyDescent="0.25">
      <c r="B8" s="145">
        <v>44319</v>
      </c>
      <c r="C8" s="107">
        <f t="shared" si="0"/>
        <v>18</v>
      </c>
      <c r="D8" s="21" t="s">
        <v>53</v>
      </c>
      <c r="E8" s="171">
        <v>0.45833333333333331</v>
      </c>
      <c r="F8" s="171">
        <v>0.48958333333333331</v>
      </c>
      <c r="G8" s="105">
        <f t="shared" si="1"/>
        <v>3.125E-2</v>
      </c>
      <c r="H8" s="207" t="s">
        <v>109</v>
      </c>
    </row>
    <row r="9" spans="2:8" ht="45" x14ac:dyDescent="0.25">
      <c r="B9" s="145">
        <v>44319</v>
      </c>
      <c r="C9" s="107">
        <f t="shared" si="0"/>
        <v>18</v>
      </c>
      <c r="D9" s="21" t="s">
        <v>76</v>
      </c>
      <c r="E9" s="171">
        <v>0.48958333333333331</v>
      </c>
      <c r="F9" s="171">
        <v>0.51041666666666663</v>
      </c>
      <c r="G9" s="105">
        <f t="shared" si="1"/>
        <v>2.0833333333333315E-2</v>
      </c>
      <c r="H9" s="207" t="s">
        <v>112</v>
      </c>
    </row>
    <row r="10" spans="2:8" ht="45" x14ac:dyDescent="0.25">
      <c r="B10" s="145">
        <v>44319</v>
      </c>
      <c r="C10" s="107">
        <f t="shared" si="0"/>
        <v>18</v>
      </c>
      <c r="D10" s="21" t="s">
        <v>101</v>
      </c>
      <c r="E10" s="171">
        <v>0.5625</v>
      </c>
      <c r="F10" s="171">
        <v>0.57986111111111105</v>
      </c>
      <c r="G10" s="105">
        <f t="shared" si="1"/>
        <v>1.7361111111111049E-2</v>
      </c>
      <c r="H10" s="207" t="s">
        <v>113</v>
      </c>
    </row>
    <row r="11" spans="2:8" x14ac:dyDescent="0.25">
      <c r="B11" s="145">
        <v>44319</v>
      </c>
      <c r="C11" s="107">
        <f t="shared" si="0"/>
        <v>18</v>
      </c>
      <c r="D11" s="21" t="s">
        <v>79</v>
      </c>
      <c r="E11" s="171">
        <v>0.57986111111111105</v>
      </c>
      <c r="F11" s="171">
        <v>0.59722222222222221</v>
      </c>
      <c r="G11" s="105">
        <f t="shared" si="1"/>
        <v>1.736111111111116E-2</v>
      </c>
      <c r="H11" s="207" t="s">
        <v>114</v>
      </c>
    </row>
    <row r="12" spans="2:8" ht="30" x14ac:dyDescent="0.25">
      <c r="B12" s="145">
        <v>44319</v>
      </c>
      <c r="C12" s="107">
        <f t="shared" si="0"/>
        <v>18</v>
      </c>
      <c r="D12" s="21" t="s">
        <v>98</v>
      </c>
      <c r="E12" s="171">
        <v>0.59722222222222221</v>
      </c>
      <c r="F12" s="171">
        <v>0.61111111111111105</v>
      </c>
      <c r="G12" s="105">
        <f t="shared" si="1"/>
        <v>1.388888888888884E-2</v>
      </c>
      <c r="H12" s="207" t="s">
        <v>115</v>
      </c>
    </row>
    <row r="13" spans="2:8" ht="30" x14ac:dyDescent="0.25">
      <c r="B13" s="145">
        <v>44319</v>
      </c>
      <c r="C13" s="107">
        <f t="shared" si="0"/>
        <v>18</v>
      </c>
      <c r="D13" s="21" t="s">
        <v>101</v>
      </c>
      <c r="E13" s="171">
        <v>0.61111111111111105</v>
      </c>
      <c r="F13" s="171">
        <v>0.62847222222222221</v>
      </c>
      <c r="G13" s="105">
        <f t="shared" si="1"/>
        <v>1.736111111111116E-2</v>
      </c>
      <c r="H13" s="207" t="s">
        <v>116</v>
      </c>
    </row>
    <row r="14" spans="2:8" x14ac:dyDescent="0.25">
      <c r="B14" s="145">
        <v>44319</v>
      </c>
      <c r="C14" s="107">
        <f t="shared" si="0"/>
        <v>18</v>
      </c>
      <c r="D14" s="21" t="s">
        <v>54</v>
      </c>
      <c r="E14" s="171">
        <v>0.64236111111111105</v>
      </c>
      <c r="F14" s="171">
        <v>0.65972222222222221</v>
      </c>
      <c r="G14" s="105">
        <f t="shared" si="1"/>
        <v>1.736111111111116E-2</v>
      </c>
      <c r="H14" s="207" t="s">
        <v>117</v>
      </c>
    </row>
    <row r="15" spans="2:8" ht="30" x14ac:dyDescent="0.25">
      <c r="B15" s="145">
        <v>44319</v>
      </c>
      <c r="C15" s="107">
        <f t="shared" si="0"/>
        <v>18</v>
      </c>
      <c r="D15" s="21" t="s">
        <v>101</v>
      </c>
      <c r="E15" s="171">
        <v>0.65972222222222221</v>
      </c>
      <c r="F15" s="171">
        <v>0.67708333333333337</v>
      </c>
      <c r="G15" s="105">
        <f t="shared" si="1"/>
        <v>1.736111111111116E-2</v>
      </c>
      <c r="H15" s="207" t="s">
        <v>118</v>
      </c>
    </row>
    <row r="16" spans="2:8" x14ac:dyDescent="0.25">
      <c r="B16" s="145">
        <v>44319</v>
      </c>
      <c r="C16" s="107">
        <f t="shared" si="0"/>
        <v>18</v>
      </c>
      <c r="D16" s="21" t="s">
        <v>71</v>
      </c>
      <c r="E16" s="171">
        <v>0.67708333333333337</v>
      </c>
      <c r="F16" s="171">
        <v>0.70833333333333337</v>
      </c>
      <c r="G16" s="105">
        <f t="shared" si="1"/>
        <v>3.125E-2</v>
      </c>
      <c r="H16" s="207" t="s">
        <v>121</v>
      </c>
    </row>
    <row r="17" spans="2:8" ht="30" x14ac:dyDescent="0.25">
      <c r="B17" s="145">
        <v>44320</v>
      </c>
      <c r="C17" s="107">
        <f t="shared" si="0"/>
        <v>18</v>
      </c>
      <c r="D17" s="21" t="s">
        <v>50</v>
      </c>
      <c r="E17" s="171">
        <v>0.40972222222222227</v>
      </c>
      <c r="F17" s="171">
        <v>0.41666666666666669</v>
      </c>
      <c r="G17" s="105">
        <f t="shared" si="1"/>
        <v>6.9444444444444198E-3</v>
      </c>
      <c r="H17" s="207" t="s">
        <v>120</v>
      </c>
    </row>
    <row r="18" spans="2:8" ht="30" x14ac:dyDescent="0.25">
      <c r="B18" s="145">
        <v>44320</v>
      </c>
      <c r="C18" s="107">
        <f t="shared" si="0"/>
        <v>18</v>
      </c>
      <c r="D18" s="21" t="s">
        <v>71</v>
      </c>
      <c r="E18" s="171">
        <v>0.41666666666666669</v>
      </c>
      <c r="F18" s="171">
        <v>0.4375</v>
      </c>
      <c r="G18" s="105">
        <f t="shared" si="1"/>
        <v>2.0833333333333315E-2</v>
      </c>
      <c r="H18" s="207" t="s">
        <v>122</v>
      </c>
    </row>
    <row r="19" spans="2:8" ht="45" x14ac:dyDescent="0.25">
      <c r="B19" s="145">
        <v>44320</v>
      </c>
      <c r="C19" s="107">
        <f t="shared" si="0"/>
        <v>18</v>
      </c>
      <c r="D19" s="21" t="s">
        <v>56</v>
      </c>
      <c r="E19" s="171">
        <v>0.4375</v>
      </c>
      <c r="F19" s="171">
        <v>0.47222222222222227</v>
      </c>
      <c r="G19" s="105">
        <f t="shared" si="1"/>
        <v>3.4722222222222265E-2</v>
      </c>
      <c r="H19" s="207" t="s">
        <v>123</v>
      </c>
    </row>
    <row r="20" spans="2:8" ht="31.5" customHeight="1" x14ac:dyDescent="0.25">
      <c r="B20" s="145">
        <v>44320</v>
      </c>
      <c r="C20" s="107">
        <f t="shared" si="0"/>
        <v>18</v>
      </c>
      <c r="D20" s="21" t="s">
        <v>78</v>
      </c>
      <c r="E20" s="171">
        <v>0.47222222222222227</v>
      </c>
      <c r="F20" s="171">
        <v>0.4861111111111111</v>
      </c>
      <c r="G20" s="105">
        <f t="shared" si="1"/>
        <v>1.388888888888884E-2</v>
      </c>
      <c r="H20" s="207" t="s">
        <v>124</v>
      </c>
    </row>
    <row r="21" spans="2:8" ht="30" x14ac:dyDescent="0.25">
      <c r="B21" s="145">
        <v>44320</v>
      </c>
      <c r="C21" s="107">
        <f t="shared" si="0"/>
        <v>18</v>
      </c>
      <c r="D21" s="21" t="s">
        <v>57</v>
      </c>
      <c r="E21" s="171">
        <v>0.4861111111111111</v>
      </c>
      <c r="F21" s="171">
        <v>0.51041666666666663</v>
      </c>
      <c r="G21" s="105">
        <f t="shared" si="1"/>
        <v>2.4305555555555525E-2</v>
      </c>
      <c r="H21" s="207" t="s">
        <v>125</v>
      </c>
    </row>
    <row r="22" spans="2:8" ht="45" x14ac:dyDescent="0.25">
      <c r="B22" s="145">
        <v>44320</v>
      </c>
      <c r="C22" s="107">
        <f t="shared" si="0"/>
        <v>18</v>
      </c>
      <c r="D22" s="21" t="s">
        <v>57</v>
      </c>
      <c r="E22" s="171">
        <v>0.64236111111111105</v>
      </c>
      <c r="F22" s="171">
        <v>0.67708333333333337</v>
      </c>
      <c r="G22" s="105">
        <f t="shared" si="1"/>
        <v>3.4722222222222321E-2</v>
      </c>
      <c r="H22" s="207" t="s">
        <v>126</v>
      </c>
    </row>
    <row r="23" spans="2:8" ht="45" x14ac:dyDescent="0.25">
      <c r="B23" s="145">
        <v>44320</v>
      </c>
      <c r="C23" s="107">
        <f t="shared" si="0"/>
        <v>18</v>
      </c>
      <c r="D23" s="21" t="s">
        <v>101</v>
      </c>
      <c r="E23" s="171">
        <v>0.67708333333333337</v>
      </c>
      <c r="F23" s="171">
        <v>0.69791666666666663</v>
      </c>
      <c r="G23" s="105">
        <f t="shared" si="1"/>
        <v>2.0833333333333259E-2</v>
      </c>
      <c r="H23" s="207" t="s">
        <v>127</v>
      </c>
    </row>
    <row r="24" spans="2:8" ht="30" x14ac:dyDescent="0.25">
      <c r="B24" s="145">
        <v>44320</v>
      </c>
      <c r="C24" s="107">
        <f t="shared" si="0"/>
        <v>18</v>
      </c>
      <c r="D24" s="21" t="s">
        <v>103</v>
      </c>
      <c r="E24" s="171">
        <v>0.69791666666666663</v>
      </c>
      <c r="F24" s="171">
        <v>0.70486111111111116</v>
      </c>
      <c r="G24" s="105">
        <f t="shared" si="1"/>
        <v>6.9444444444445308E-3</v>
      </c>
      <c r="H24" s="207" t="s">
        <v>129</v>
      </c>
    </row>
    <row r="25" spans="2:8" ht="45" x14ac:dyDescent="0.25">
      <c r="B25" s="145">
        <v>44321</v>
      </c>
      <c r="C25" s="107">
        <f t="shared" si="0"/>
        <v>18</v>
      </c>
      <c r="D25" s="21" t="s">
        <v>57</v>
      </c>
      <c r="E25" s="171">
        <v>0.35069444444444442</v>
      </c>
      <c r="F25" s="171">
        <v>0.3923611111111111</v>
      </c>
      <c r="G25" s="105">
        <f t="shared" si="1"/>
        <v>4.1666666666666685E-2</v>
      </c>
      <c r="H25" s="207" t="s">
        <v>130</v>
      </c>
    </row>
    <row r="26" spans="2:8" ht="30" x14ac:dyDescent="0.25">
      <c r="B26" s="145">
        <v>44321</v>
      </c>
      <c r="C26" s="107">
        <f t="shared" si="0"/>
        <v>18</v>
      </c>
      <c r="D26" s="21" t="s">
        <v>110</v>
      </c>
      <c r="E26" s="171">
        <v>0.3923611111111111</v>
      </c>
      <c r="F26" s="171">
        <v>0.39930555555555558</v>
      </c>
      <c r="G26" s="105">
        <f t="shared" si="1"/>
        <v>6.9444444444444753E-3</v>
      </c>
      <c r="H26" s="207" t="s">
        <v>131</v>
      </c>
    </row>
    <row r="27" spans="2:8" ht="30" x14ac:dyDescent="0.25">
      <c r="B27" s="145">
        <v>44321</v>
      </c>
      <c r="C27" s="107">
        <f t="shared" si="0"/>
        <v>18</v>
      </c>
      <c r="D27" s="21" t="s">
        <v>110</v>
      </c>
      <c r="E27" s="171">
        <v>0.40972222222222227</v>
      </c>
      <c r="F27" s="171">
        <v>0.4236111111111111</v>
      </c>
      <c r="G27" s="105">
        <f t="shared" si="1"/>
        <v>1.388888888888884E-2</v>
      </c>
      <c r="H27" s="207" t="s">
        <v>133</v>
      </c>
    </row>
    <row r="28" spans="2:8" ht="75" x14ac:dyDescent="0.25">
      <c r="B28" s="145">
        <v>44321</v>
      </c>
      <c r="C28" s="107">
        <f t="shared" si="0"/>
        <v>18</v>
      </c>
      <c r="D28" s="21" t="s">
        <v>63</v>
      </c>
      <c r="E28" s="171">
        <v>0.4236111111111111</v>
      </c>
      <c r="F28" s="171">
        <v>0.43055555555555558</v>
      </c>
      <c r="G28" s="105">
        <f t="shared" si="1"/>
        <v>6.9444444444444753E-3</v>
      </c>
      <c r="H28" s="207" t="s">
        <v>132</v>
      </c>
    </row>
    <row r="29" spans="2:8" ht="45" x14ac:dyDescent="0.25">
      <c r="B29" s="145">
        <v>44321</v>
      </c>
      <c r="C29" s="107">
        <f t="shared" si="0"/>
        <v>18</v>
      </c>
      <c r="D29" s="21" t="s">
        <v>52</v>
      </c>
      <c r="E29" s="171">
        <v>0.43402777777777773</v>
      </c>
      <c r="F29" s="171">
        <v>0.4513888888888889</v>
      </c>
      <c r="G29" s="105">
        <f t="shared" si="1"/>
        <v>1.736111111111116E-2</v>
      </c>
      <c r="H29" s="207" t="s">
        <v>135</v>
      </c>
    </row>
    <row r="30" spans="2:8" ht="30" x14ac:dyDescent="0.25">
      <c r="B30" s="145">
        <v>44321</v>
      </c>
      <c r="C30" s="107">
        <f t="shared" si="0"/>
        <v>18</v>
      </c>
      <c r="D30" s="21" t="s">
        <v>56</v>
      </c>
      <c r="E30" s="171">
        <v>0.4548611111111111</v>
      </c>
      <c r="F30" s="171">
        <v>0.47222222222222227</v>
      </c>
      <c r="G30" s="105">
        <f t="shared" si="1"/>
        <v>1.736111111111116E-2</v>
      </c>
      <c r="H30" s="207" t="s">
        <v>137</v>
      </c>
    </row>
    <row r="31" spans="2:8" ht="30" x14ac:dyDescent="0.25">
      <c r="B31" s="145">
        <v>44321</v>
      </c>
      <c r="C31" s="107">
        <f t="shared" si="0"/>
        <v>18</v>
      </c>
      <c r="D31" s="21" t="s">
        <v>101</v>
      </c>
      <c r="E31" s="171">
        <v>0.47222222222222227</v>
      </c>
      <c r="F31" s="171">
        <v>0.47916666666666669</v>
      </c>
      <c r="G31" s="105">
        <f t="shared" si="1"/>
        <v>6.9444444444444198E-3</v>
      </c>
      <c r="H31" s="207" t="s">
        <v>138</v>
      </c>
    </row>
    <row r="32" spans="2:8" ht="45" x14ac:dyDescent="0.25">
      <c r="B32" s="145">
        <v>44321</v>
      </c>
      <c r="C32" s="107">
        <f t="shared" si="0"/>
        <v>18</v>
      </c>
      <c r="D32" s="21" t="s">
        <v>59</v>
      </c>
      <c r="E32" s="171">
        <v>0.4826388888888889</v>
      </c>
      <c r="F32" s="171">
        <v>0.50347222222222221</v>
      </c>
      <c r="G32" s="105">
        <f t="shared" si="1"/>
        <v>2.0833333333333315E-2</v>
      </c>
      <c r="H32" s="207" t="s">
        <v>139</v>
      </c>
    </row>
    <row r="33" spans="2:8" ht="45" x14ac:dyDescent="0.25">
      <c r="B33" s="145">
        <v>44321</v>
      </c>
      <c r="C33" s="107">
        <f t="shared" si="0"/>
        <v>18</v>
      </c>
      <c r="D33" s="21" t="s">
        <v>59</v>
      </c>
      <c r="E33" s="171">
        <v>0.56944444444444442</v>
      </c>
      <c r="F33" s="171">
        <v>0.57986111111111105</v>
      </c>
      <c r="G33" s="105">
        <f t="shared" si="1"/>
        <v>1.041666666666663E-2</v>
      </c>
      <c r="H33" s="207" t="s">
        <v>140</v>
      </c>
    </row>
    <row r="34" spans="2:8" ht="45" x14ac:dyDescent="0.25">
      <c r="B34" s="145">
        <v>44321</v>
      </c>
      <c r="C34" s="107">
        <f t="shared" si="0"/>
        <v>18</v>
      </c>
      <c r="D34" s="21" t="s">
        <v>55</v>
      </c>
      <c r="E34" s="171">
        <v>0.59375</v>
      </c>
      <c r="F34" s="171">
        <v>0.62847222222222221</v>
      </c>
      <c r="G34" s="105">
        <f t="shared" si="1"/>
        <v>3.472222222222221E-2</v>
      </c>
      <c r="H34" s="207" t="s">
        <v>142</v>
      </c>
    </row>
    <row r="35" spans="2:8" ht="30" x14ac:dyDescent="0.25">
      <c r="B35" s="145">
        <v>44321</v>
      </c>
      <c r="C35" s="107">
        <f t="shared" si="0"/>
        <v>18</v>
      </c>
      <c r="D35" s="21" t="s">
        <v>56</v>
      </c>
      <c r="E35" s="171">
        <v>0.63888888888888895</v>
      </c>
      <c r="F35" s="171">
        <v>0.64236111111111105</v>
      </c>
      <c r="G35" s="105">
        <f t="shared" si="1"/>
        <v>3.4722222222220989E-3</v>
      </c>
      <c r="H35" s="207" t="s">
        <v>143</v>
      </c>
    </row>
    <row r="36" spans="2:8" ht="30" x14ac:dyDescent="0.25">
      <c r="B36" s="145">
        <v>44321</v>
      </c>
      <c r="C36" s="107">
        <f t="shared" si="0"/>
        <v>18</v>
      </c>
      <c r="D36" s="21" t="s">
        <v>62</v>
      </c>
      <c r="E36" s="171">
        <v>0.64236111111111105</v>
      </c>
      <c r="F36" s="171">
        <v>0.66666666666666663</v>
      </c>
      <c r="G36" s="105">
        <f t="shared" si="1"/>
        <v>2.430555555555558E-2</v>
      </c>
      <c r="H36" s="207" t="s">
        <v>144</v>
      </c>
    </row>
    <row r="37" spans="2:8" ht="30" x14ac:dyDescent="0.25">
      <c r="B37" s="145">
        <v>44321</v>
      </c>
      <c r="C37" s="107">
        <f t="shared" si="0"/>
        <v>18</v>
      </c>
      <c r="D37" s="21" t="s">
        <v>101</v>
      </c>
      <c r="E37" s="171">
        <v>0.68402777777777779</v>
      </c>
      <c r="F37" s="171">
        <v>0.69791666666666663</v>
      </c>
      <c r="G37" s="105">
        <f t="shared" si="1"/>
        <v>1.388888888888884E-2</v>
      </c>
      <c r="H37" s="207" t="s">
        <v>146</v>
      </c>
    </row>
    <row r="38" spans="2:8" ht="30" x14ac:dyDescent="0.25">
      <c r="B38" s="145">
        <v>44322</v>
      </c>
      <c r="C38" s="107">
        <f t="shared" si="0"/>
        <v>18</v>
      </c>
      <c r="D38" s="21" t="s">
        <v>101</v>
      </c>
      <c r="E38" s="171">
        <v>0.33333333333333331</v>
      </c>
      <c r="F38" s="171">
        <v>0.34375</v>
      </c>
      <c r="G38" s="105">
        <f t="shared" si="1"/>
        <v>1.0416666666666685E-2</v>
      </c>
      <c r="H38" s="207" t="s">
        <v>147</v>
      </c>
    </row>
    <row r="39" spans="2:8" ht="30" x14ac:dyDescent="0.25">
      <c r="B39" s="145">
        <v>44322</v>
      </c>
      <c r="C39" s="107">
        <f t="shared" si="0"/>
        <v>18</v>
      </c>
      <c r="D39" s="21" t="s">
        <v>60</v>
      </c>
      <c r="E39" s="171">
        <v>0.34375</v>
      </c>
      <c r="F39" s="171">
        <v>0.35416666666666669</v>
      </c>
      <c r="G39" s="105">
        <f t="shared" si="1"/>
        <v>1.0416666666666685E-2</v>
      </c>
      <c r="H39" s="207" t="s">
        <v>148</v>
      </c>
    </row>
    <row r="40" spans="2:8" x14ac:dyDescent="0.25">
      <c r="B40" s="145">
        <v>44322</v>
      </c>
      <c r="C40" s="107">
        <f t="shared" si="0"/>
        <v>18</v>
      </c>
      <c r="D40" s="21" t="s">
        <v>60</v>
      </c>
      <c r="E40" s="171">
        <v>0.35416666666666669</v>
      </c>
      <c r="F40" s="171">
        <v>0.38541666666666669</v>
      </c>
      <c r="G40" s="105">
        <f t="shared" si="1"/>
        <v>3.125E-2</v>
      </c>
      <c r="H40" s="207" t="s">
        <v>149</v>
      </c>
    </row>
    <row r="41" spans="2:8" ht="45" customHeight="1" x14ac:dyDescent="0.25">
      <c r="B41" s="145">
        <v>44322</v>
      </c>
      <c r="C41" s="107">
        <f t="shared" si="0"/>
        <v>18</v>
      </c>
      <c r="D41" s="21" t="s">
        <v>66</v>
      </c>
      <c r="E41" s="171">
        <v>0.38541666666666669</v>
      </c>
      <c r="F41" s="171">
        <v>0.3923611111111111</v>
      </c>
      <c r="G41" s="105">
        <f t="shared" si="1"/>
        <v>6.9444444444444198E-3</v>
      </c>
      <c r="H41" s="207" t="s">
        <v>151</v>
      </c>
    </row>
    <row r="42" spans="2:8" x14ac:dyDescent="0.25">
      <c r="B42" s="145">
        <v>44322</v>
      </c>
      <c r="C42" s="107">
        <f t="shared" si="0"/>
        <v>18</v>
      </c>
      <c r="D42" s="21" t="s">
        <v>60</v>
      </c>
      <c r="E42" s="171">
        <v>0.3923611111111111</v>
      </c>
      <c r="F42" s="171">
        <v>0.39930555555555558</v>
      </c>
      <c r="G42" s="105">
        <f t="shared" si="1"/>
        <v>6.9444444444444753E-3</v>
      </c>
      <c r="H42" s="207" t="s">
        <v>152</v>
      </c>
    </row>
    <row r="43" spans="2:8" x14ac:dyDescent="0.25">
      <c r="B43" s="145">
        <v>44322</v>
      </c>
      <c r="C43" s="107">
        <f t="shared" si="0"/>
        <v>18</v>
      </c>
      <c r="D43" s="21" t="s">
        <v>60</v>
      </c>
      <c r="E43" s="201">
        <v>0.40972222222222227</v>
      </c>
      <c r="F43" s="171">
        <v>0.44444444444444442</v>
      </c>
      <c r="G43" s="105">
        <f t="shared" si="1"/>
        <v>3.4722222222222154E-2</v>
      </c>
      <c r="H43" s="207" t="s">
        <v>153</v>
      </c>
    </row>
    <row r="44" spans="2:8" ht="45" x14ac:dyDescent="0.25">
      <c r="B44" s="145">
        <v>44322</v>
      </c>
      <c r="C44" s="107">
        <f t="shared" si="0"/>
        <v>18</v>
      </c>
      <c r="D44" s="21" t="s">
        <v>58</v>
      </c>
      <c r="E44" s="171">
        <v>0.44791666666666669</v>
      </c>
      <c r="F44" s="171">
        <v>0.46180555555555558</v>
      </c>
      <c r="G44" s="105">
        <f t="shared" si="1"/>
        <v>1.3888888888888895E-2</v>
      </c>
      <c r="H44" s="207" t="s">
        <v>154</v>
      </c>
    </row>
    <row r="45" spans="2:8" x14ac:dyDescent="0.25">
      <c r="B45" s="145">
        <v>44322</v>
      </c>
      <c r="C45" s="107">
        <f t="shared" si="0"/>
        <v>18</v>
      </c>
      <c r="D45" s="21" t="s">
        <v>61</v>
      </c>
      <c r="E45" s="171">
        <v>0.46527777777777773</v>
      </c>
      <c r="F45" s="171">
        <v>0.49305555555555558</v>
      </c>
      <c r="G45" s="105">
        <f t="shared" si="1"/>
        <v>2.7777777777777846E-2</v>
      </c>
      <c r="H45" s="207" t="s">
        <v>155</v>
      </c>
    </row>
    <row r="46" spans="2:8" ht="30" x14ac:dyDescent="0.25">
      <c r="B46" s="145">
        <v>44322</v>
      </c>
      <c r="C46" s="107">
        <f t="shared" si="0"/>
        <v>18</v>
      </c>
      <c r="D46" s="21" t="s">
        <v>101</v>
      </c>
      <c r="E46" s="171">
        <v>0.49305555555555558</v>
      </c>
      <c r="F46" s="171">
        <v>0.5</v>
      </c>
      <c r="G46" s="105">
        <f t="shared" si="1"/>
        <v>6.9444444444444198E-3</v>
      </c>
      <c r="H46" s="207" t="s">
        <v>156</v>
      </c>
    </row>
    <row r="47" spans="2:8" ht="30" customHeight="1" x14ac:dyDescent="0.25">
      <c r="B47" s="145">
        <v>44322</v>
      </c>
      <c r="C47" s="107">
        <f t="shared" si="0"/>
        <v>18</v>
      </c>
      <c r="D47" s="21" t="s">
        <v>145</v>
      </c>
      <c r="E47" s="171">
        <v>0.5625</v>
      </c>
      <c r="F47" s="171">
        <v>0.58333333333333337</v>
      </c>
      <c r="G47" s="105">
        <f t="shared" si="1"/>
        <v>2.083333333333337E-2</v>
      </c>
      <c r="H47" s="207" t="s">
        <v>157</v>
      </c>
    </row>
    <row r="48" spans="2:8" ht="30" x14ac:dyDescent="0.25">
      <c r="B48" s="145">
        <v>44322</v>
      </c>
      <c r="C48" s="107">
        <f t="shared" si="0"/>
        <v>18</v>
      </c>
      <c r="D48" s="21" t="s">
        <v>66</v>
      </c>
      <c r="E48" s="171">
        <v>0.58333333333333337</v>
      </c>
      <c r="F48" s="171">
        <v>0.58680555555555558</v>
      </c>
      <c r="G48" s="105">
        <f t="shared" si="1"/>
        <v>3.4722222222222099E-3</v>
      </c>
      <c r="H48" s="207" t="s">
        <v>158</v>
      </c>
    </row>
    <row r="49" spans="2:8" x14ac:dyDescent="0.25">
      <c r="B49" s="145">
        <v>44322</v>
      </c>
      <c r="C49" s="107">
        <f t="shared" si="0"/>
        <v>18</v>
      </c>
      <c r="D49" s="21" t="s">
        <v>61</v>
      </c>
      <c r="E49" s="171">
        <v>0.58680555555555558</v>
      </c>
      <c r="F49" s="171">
        <v>0.59027777777777779</v>
      </c>
      <c r="G49" s="105">
        <f t="shared" si="1"/>
        <v>3.4722222222222099E-3</v>
      </c>
      <c r="H49" s="207" t="s">
        <v>159</v>
      </c>
    </row>
    <row r="50" spans="2:8" ht="30" x14ac:dyDescent="0.25">
      <c r="B50" s="145">
        <v>44322</v>
      </c>
      <c r="C50" s="107">
        <f t="shared" si="0"/>
        <v>18</v>
      </c>
      <c r="D50" s="21" t="s">
        <v>101</v>
      </c>
      <c r="E50" s="171">
        <v>0.60416666666666663</v>
      </c>
      <c r="F50" s="171">
        <v>0.62847222222222221</v>
      </c>
      <c r="G50" s="105">
        <f t="shared" si="1"/>
        <v>2.430555555555558E-2</v>
      </c>
      <c r="H50" s="207" t="s">
        <v>160</v>
      </c>
    </row>
    <row r="51" spans="2:8" x14ac:dyDescent="0.25">
      <c r="B51" s="145">
        <v>44322</v>
      </c>
      <c r="C51" s="107">
        <f t="shared" si="0"/>
        <v>18</v>
      </c>
      <c r="D51" s="21" t="s">
        <v>100</v>
      </c>
      <c r="E51" s="171">
        <v>0.63888888888888895</v>
      </c>
      <c r="F51" s="171">
        <v>0.65625</v>
      </c>
      <c r="G51" s="105">
        <f t="shared" si="1"/>
        <v>1.7361111111111049E-2</v>
      </c>
      <c r="H51" s="207" t="s">
        <v>162</v>
      </c>
    </row>
    <row r="52" spans="2:8" ht="30" x14ac:dyDescent="0.25">
      <c r="B52" s="145">
        <v>44322</v>
      </c>
      <c r="C52" s="107">
        <f t="shared" si="0"/>
        <v>18</v>
      </c>
      <c r="D52" s="21" t="s">
        <v>103</v>
      </c>
      <c r="E52" s="171">
        <v>0.65625</v>
      </c>
      <c r="F52" s="171">
        <v>0.66319444444444442</v>
      </c>
      <c r="G52" s="105">
        <f t="shared" si="1"/>
        <v>6.9444444444444198E-3</v>
      </c>
      <c r="H52" s="207" t="s">
        <v>129</v>
      </c>
    </row>
    <row r="53" spans="2:8" x14ac:dyDescent="0.25">
      <c r="B53" s="145">
        <v>44326</v>
      </c>
      <c r="C53" s="107">
        <f t="shared" si="0"/>
        <v>19</v>
      </c>
      <c r="D53" s="21" t="s">
        <v>74</v>
      </c>
      <c r="E53" s="171">
        <v>0.36805555555555558</v>
      </c>
      <c r="F53" s="171">
        <v>0.38541666666666669</v>
      </c>
      <c r="G53" s="105">
        <f t="shared" si="1"/>
        <v>1.7361111111111105E-2</v>
      </c>
      <c r="H53" s="207" t="s">
        <v>165</v>
      </c>
    </row>
    <row r="54" spans="2:8" x14ac:dyDescent="0.25">
      <c r="B54" s="145">
        <v>44326</v>
      </c>
      <c r="C54" s="107">
        <f t="shared" si="0"/>
        <v>19</v>
      </c>
      <c r="D54" s="21" t="s">
        <v>74</v>
      </c>
      <c r="E54" s="171">
        <v>0.38541666666666669</v>
      </c>
      <c r="F54" s="171">
        <v>0.39930555555555558</v>
      </c>
      <c r="G54" s="105">
        <f t="shared" si="1"/>
        <v>1.3888888888888895E-2</v>
      </c>
      <c r="H54" s="207" t="s">
        <v>166</v>
      </c>
    </row>
    <row r="55" spans="2:8" x14ac:dyDescent="0.25">
      <c r="B55" s="145">
        <v>44326</v>
      </c>
      <c r="C55" s="107">
        <f t="shared" si="0"/>
        <v>19</v>
      </c>
      <c r="D55" s="21" t="s">
        <v>74</v>
      </c>
      <c r="E55" s="171">
        <v>0.40972222222222227</v>
      </c>
      <c r="F55" s="171">
        <v>0.43055555555555558</v>
      </c>
      <c r="G55" s="105">
        <f t="shared" si="1"/>
        <v>2.0833333333333315E-2</v>
      </c>
      <c r="H55" s="207" t="s">
        <v>167</v>
      </c>
    </row>
    <row r="56" spans="2:8" ht="30" x14ac:dyDescent="0.25">
      <c r="B56" s="145">
        <v>44326</v>
      </c>
      <c r="C56" s="107">
        <f t="shared" si="0"/>
        <v>19</v>
      </c>
      <c r="D56" s="21" t="s">
        <v>101</v>
      </c>
      <c r="E56" s="171">
        <v>0.43055555555555558</v>
      </c>
      <c r="F56" s="171">
        <v>0.4375</v>
      </c>
      <c r="G56" s="105">
        <f t="shared" si="1"/>
        <v>6.9444444444444198E-3</v>
      </c>
      <c r="H56" s="207" t="s">
        <v>168</v>
      </c>
    </row>
    <row r="57" spans="2:8" ht="30" x14ac:dyDescent="0.25">
      <c r="B57" s="145">
        <v>44326</v>
      </c>
      <c r="C57" s="107">
        <f t="shared" si="0"/>
        <v>19</v>
      </c>
      <c r="D57" s="21" t="s">
        <v>75</v>
      </c>
      <c r="E57" s="171">
        <v>0.4375</v>
      </c>
      <c r="F57" s="171">
        <v>0.48958333333333331</v>
      </c>
      <c r="G57" s="105">
        <f t="shared" si="1"/>
        <v>5.2083333333333315E-2</v>
      </c>
      <c r="H57" s="207" t="s">
        <v>169</v>
      </c>
    </row>
    <row r="58" spans="2:8" ht="30" x14ac:dyDescent="0.25">
      <c r="B58" s="145">
        <v>44326</v>
      </c>
      <c r="C58" s="107">
        <f t="shared" si="0"/>
        <v>19</v>
      </c>
      <c r="D58" s="21" t="s">
        <v>66</v>
      </c>
      <c r="E58" s="171">
        <v>0.48958333333333331</v>
      </c>
      <c r="F58" s="171">
        <v>0.49305555555555558</v>
      </c>
      <c r="G58" s="105">
        <f t="shared" si="1"/>
        <v>3.4722222222222654E-3</v>
      </c>
      <c r="H58" s="207" t="s">
        <v>170</v>
      </c>
    </row>
    <row r="59" spans="2:8" ht="45" x14ac:dyDescent="0.25">
      <c r="B59" s="145">
        <v>44326</v>
      </c>
      <c r="C59" s="107">
        <f t="shared" si="0"/>
        <v>19</v>
      </c>
      <c r="D59" s="21" t="s">
        <v>75</v>
      </c>
      <c r="E59" s="171">
        <v>0.49305555555555558</v>
      </c>
      <c r="F59" s="171">
        <v>0.50694444444444442</v>
      </c>
      <c r="G59" s="105">
        <f t="shared" si="1"/>
        <v>1.388888888888884E-2</v>
      </c>
      <c r="H59" s="207" t="s">
        <v>171</v>
      </c>
    </row>
    <row r="60" spans="2:8" ht="30" x14ac:dyDescent="0.25">
      <c r="B60" s="145">
        <v>44326</v>
      </c>
      <c r="C60" s="107">
        <f t="shared" si="0"/>
        <v>19</v>
      </c>
      <c r="D60" s="21" t="s">
        <v>101</v>
      </c>
      <c r="E60" s="171">
        <v>0.50694444444444442</v>
      </c>
      <c r="F60" s="171">
        <v>0.51041666666666663</v>
      </c>
      <c r="G60" s="105">
        <f t="shared" si="1"/>
        <v>3.4722222222222099E-3</v>
      </c>
      <c r="H60" s="207" t="s">
        <v>172</v>
      </c>
    </row>
    <row r="61" spans="2:8" ht="45" x14ac:dyDescent="0.25">
      <c r="B61" s="145">
        <v>44326</v>
      </c>
      <c r="C61" s="107">
        <f t="shared" si="0"/>
        <v>19</v>
      </c>
      <c r="D61" s="21" t="s">
        <v>75</v>
      </c>
      <c r="E61" s="171">
        <v>0.5625</v>
      </c>
      <c r="F61" s="171">
        <v>0.60416666666666663</v>
      </c>
      <c r="G61" s="105">
        <f t="shared" si="1"/>
        <v>4.166666666666663E-2</v>
      </c>
      <c r="H61" s="207" t="s">
        <v>173</v>
      </c>
    </row>
    <row r="62" spans="2:8" ht="60" x14ac:dyDescent="0.25">
      <c r="B62" s="145">
        <v>44326</v>
      </c>
      <c r="C62" s="107">
        <f t="shared" si="0"/>
        <v>19</v>
      </c>
      <c r="D62" s="21" t="s">
        <v>80</v>
      </c>
      <c r="E62" s="171">
        <v>0.60416666666666663</v>
      </c>
      <c r="F62" s="171">
        <v>0.61805555555555558</v>
      </c>
      <c r="G62" s="105">
        <f t="shared" si="1"/>
        <v>1.3888888888888951E-2</v>
      </c>
      <c r="H62" s="207" t="s">
        <v>174</v>
      </c>
    </row>
    <row r="63" spans="2:8" ht="30" x14ac:dyDescent="0.25">
      <c r="B63" s="145">
        <v>44326</v>
      </c>
      <c r="C63" s="107">
        <f t="shared" si="0"/>
        <v>19</v>
      </c>
      <c r="D63" s="21" t="s">
        <v>101</v>
      </c>
      <c r="E63" s="171">
        <v>0.61805555555555558</v>
      </c>
      <c r="F63" s="171">
        <v>0.63194444444444442</v>
      </c>
      <c r="G63" s="105">
        <f t="shared" si="1"/>
        <v>1.388888888888884E-2</v>
      </c>
      <c r="H63" s="207" t="s">
        <v>175</v>
      </c>
    </row>
    <row r="64" spans="2:8" ht="30" x14ac:dyDescent="0.25">
      <c r="B64" s="145">
        <v>44326</v>
      </c>
      <c r="C64" s="107">
        <f t="shared" si="0"/>
        <v>19</v>
      </c>
      <c r="D64" s="21" t="s">
        <v>81</v>
      </c>
      <c r="E64" s="171">
        <v>0.64930555555555558</v>
      </c>
      <c r="F64" s="171">
        <v>0.66666666666666663</v>
      </c>
      <c r="G64" s="105">
        <f t="shared" si="1"/>
        <v>1.7361111111111049E-2</v>
      </c>
      <c r="H64" s="207" t="s">
        <v>176</v>
      </c>
    </row>
    <row r="65" spans="2:8" ht="30" x14ac:dyDescent="0.25">
      <c r="B65" s="145">
        <v>44326</v>
      </c>
      <c r="C65" s="107">
        <f t="shared" si="0"/>
        <v>19</v>
      </c>
      <c r="D65" s="21" t="s">
        <v>81</v>
      </c>
      <c r="E65" s="171">
        <v>0.67361111111111116</v>
      </c>
      <c r="F65" s="171">
        <v>0.70138888888888884</v>
      </c>
      <c r="G65" s="105">
        <f t="shared" si="1"/>
        <v>2.7777777777777679E-2</v>
      </c>
      <c r="H65" s="207" t="s">
        <v>177</v>
      </c>
    </row>
    <row r="66" spans="2:8" ht="30" x14ac:dyDescent="0.25">
      <c r="B66" s="145">
        <v>44326</v>
      </c>
      <c r="C66" s="107">
        <f t="shared" si="0"/>
        <v>19</v>
      </c>
      <c r="D66" s="21" t="s">
        <v>76</v>
      </c>
      <c r="E66" s="171">
        <v>0.70138888888888884</v>
      </c>
      <c r="F66" s="171">
        <v>0.70486111111111116</v>
      </c>
      <c r="G66" s="105">
        <f t="shared" si="1"/>
        <v>3.4722222222223209E-3</v>
      </c>
      <c r="H66" s="207" t="s">
        <v>178</v>
      </c>
    </row>
    <row r="67" spans="2:8" ht="30" x14ac:dyDescent="0.25">
      <c r="B67" s="145">
        <v>44327</v>
      </c>
      <c r="C67" s="107">
        <f t="shared" si="0"/>
        <v>19</v>
      </c>
      <c r="D67" s="21" t="s">
        <v>80</v>
      </c>
      <c r="E67" s="171">
        <v>0.40972222222222227</v>
      </c>
      <c r="F67" s="171">
        <v>0.41319444444444442</v>
      </c>
      <c r="G67" s="105">
        <f t="shared" si="1"/>
        <v>3.4722222222221544E-3</v>
      </c>
      <c r="H67" s="207" t="s">
        <v>179</v>
      </c>
    </row>
    <row r="68" spans="2:8" ht="45" x14ac:dyDescent="0.25">
      <c r="B68" s="145">
        <v>44327</v>
      </c>
      <c r="C68" s="107">
        <f t="shared" si="0"/>
        <v>19</v>
      </c>
      <c r="D68" s="21" t="s">
        <v>180</v>
      </c>
      <c r="E68" s="171">
        <v>0.41319444444444442</v>
      </c>
      <c r="F68" s="171">
        <v>0.47916666666666669</v>
      </c>
      <c r="G68" s="105">
        <f t="shared" si="1"/>
        <v>6.5972222222222265E-2</v>
      </c>
      <c r="H68" s="207" t="s">
        <v>181</v>
      </c>
    </row>
    <row r="69" spans="2:8" ht="30" x14ac:dyDescent="0.25">
      <c r="B69" s="145">
        <v>44327</v>
      </c>
      <c r="C69" s="107">
        <f t="shared" si="0"/>
        <v>19</v>
      </c>
      <c r="D69" s="21" t="s">
        <v>180</v>
      </c>
      <c r="E69" s="171">
        <v>0.47916666666666669</v>
      </c>
      <c r="F69" s="171">
        <v>0.49652777777777773</v>
      </c>
      <c r="G69" s="105">
        <f t="shared" si="1"/>
        <v>1.7361111111111049E-2</v>
      </c>
      <c r="H69" s="207" t="s">
        <v>182</v>
      </c>
    </row>
    <row r="70" spans="2:8" ht="30" x14ac:dyDescent="0.25">
      <c r="B70" s="145">
        <v>44327</v>
      </c>
      <c r="C70" s="107">
        <f t="shared" si="0"/>
        <v>19</v>
      </c>
      <c r="D70" s="21" t="s">
        <v>82</v>
      </c>
      <c r="E70" s="171">
        <v>0.49652777777777773</v>
      </c>
      <c r="F70" s="171">
        <v>0.51041666666666663</v>
      </c>
      <c r="G70" s="105">
        <f t="shared" si="1"/>
        <v>1.3888888888888895E-2</v>
      </c>
      <c r="H70" s="207" t="s">
        <v>183</v>
      </c>
    </row>
    <row r="71" spans="2:8" ht="30" x14ac:dyDescent="0.25">
      <c r="B71" s="145">
        <v>44327</v>
      </c>
      <c r="C71" s="107">
        <f t="shared" si="0"/>
        <v>19</v>
      </c>
      <c r="D71" s="21" t="s">
        <v>180</v>
      </c>
      <c r="E71" s="171">
        <v>0.63888888888888895</v>
      </c>
      <c r="F71" s="171">
        <v>0.64930555555555558</v>
      </c>
      <c r="G71" s="105">
        <f t="shared" si="1"/>
        <v>1.041666666666663E-2</v>
      </c>
      <c r="H71" s="207" t="s">
        <v>184</v>
      </c>
    </row>
    <row r="72" spans="2:8" ht="45" x14ac:dyDescent="0.25">
      <c r="B72" s="145">
        <v>44327</v>
      </c>
      <c r="C72" s="107">
        <f t="shared" si="0"/>
        <v>19</v>
      </c>
      <c r="D72" s="21" t="s">
        <v>66</v>
      </c>
      <c r="E72" s="171">
        <v>0.64930555555555558</v>
      </c>
      <c r="F72" s="171">
        <v>0.65972222222222221</v>
      </c>
      <c r="G72" s="105">
        <f t="shared" si="1"/>
        <v>1.041666666666663E-2</v>
      </c>
      <c r="H72" s="207" t="s">
        <v>185</v>
      </c>
    </row>
    <row r="73" spans="2:8" ht="60" x14ac:dyDescent="0.25">
      <c r="B73" s="145">
        <v>44327</v>
      </c>
      <c r="C73" s="107">
        <f t="shared" si="0"/>
        <v>19</v>
      </c>
      <c r="D73" s="21" t="s">
        <v>180</v>
      </c>
      <c r="E73" s="171">
        <v>0.65972222222222221</v>
      </c>
      <c r="F73" s="171">
        <v>0.69791666666666663</v>
      </c>
      <c r="G73" s="105">
        <f t="shared" si="1"/>
        <v>3.819444444444442E-2</v>
      </c>
      <c r="H73" s="207" t="s">
        <v>186</v>
      </c>
    </row>
    <row r="74" spans="2:8" ht="30" x14ac:dyDescent="0.25">
      <c r="B74" s="145">
        <v>44327</v>
      </c>
      <c r="C74" s="107">
        <f t="shared" si="0"/>
        <v>19</v>
      </c>
      <c r="D74" s="21" t="s">
        <v>103</v>
      </c>
      <c r="E74" s="171">
        <v>0.69791666666666663</v>
      </c>
      <c r="F74" s="171">
        <v>0.70486111111111116</v>
      </c>
      <c r="G74" s="105">
        <f t="shared" si="1"/>
        <v>6.9444444444445308E-3</v>
      </c>
      <c r="H74" s="207" t="s">
        <v>129</v>
      </c>
    </row>
    <row r="75" spans="2:8" ht="30" x14ac:dyDescent="0.25">
      <c r="B75" s="145">
        <v>44328</v>
      </c>
      <c r="C75" s="107">
        <f t="shared" si="0"/>
        <v>19</v>
      </c>
      <c r="D75" s="21" t="s">
        <v>163</v>
      </c>
      <c r="E75" s="171">
        <v>0.35416666666666669</v>
      </c>
      <c r="F75" s="171">
        <v>0.36458333333333331</v>
      </c>
      <c r="G75" s="105">
        <f t="shared" si="1"/>
        <v>1.041666666666663E-2</v>
      </c>
      <c r="H75" s="207" t="s">
        <v>187</v>
      </c>
    </row>
    <row r="76" spans="2:8" ht="45" x14ac:dyDescent="0.25">
      <c r="B76" s="145">
        <v>44328</v>
      </c>
      <c r="C76" s="107">
        <f t="shared" si="0"/>
        <v>19</v>
      </c>
      <c r="D76" s="21" t="s">
        <v>63</v>
      </c>
      <c r="E76" s="171">
        <v>0.36458333333333331</v>
      </c>
      <c r="F76" s="171">
        <v>0.37152777777777773</v>
      </c>
      <c r="G76" s="105">
        <f t="shared" si="1"/>
        <v>6.9444444444444198E-3</v>
      </c>
      <c r="H76" s="207" t="s">
        <v>188</v>
      </c>
    </row>
    <row r="77" spans="2:8" ht="30" x14ac:dyDescent="0.25">
      <c r="B77" s="145">
        <v>44328</v>
      </c>
      <c r="C77" s="107">
        <f t="shared" si="0"/>
        <v>19</v>
      </c>
      <c r="D77" s="21" t="s">
        <v>180</v>
      </c>
      <c r="E77" s="171">
        <v>0.37152777777777773</v>
      </c>
      <c r="F77" s="171">
        <v>0.38541666666666669</v>
      </c>
      <c r="G77" s="105">
        <f t="shared" si="1"/>
        <v>1.3888888888888951E-2</v>
      </c>
      <c r="H77" s="207" t="s">
        <v>189</v>
      </c>
    </row>
    <row r="78" spans="2:8" ht="30" x14ac:dyDescent="0.25">
      <c r="B78" s="145">
        <v>44328</v>
      </c>
      <c r="C78" s="107">
        <f t="shared" si="0"/>
        <v>19</v>
      </c>
      <c r="D78" s="21" t="s">
        <v>164</v>
      </c>
      <c r="E78" s="171">
        <v>0.3923611111111111</v>
      </c>
      <c r="F78" s="171">
        <v>0.39930555555555558</v>
      </c>
      <c r="G78" s="105">
        <f t="shared" si="1"/>
        <v>6.9444444444444753E-3</v>
      </c>
      <c r="H78" s="207" t="s">
        <v>190</v>
      </c>
    </row>
    <row r="79" spans="2:8" ht="45" x14ac:dyDescent="0.25">
      <c r="B79" s="145">
        <v>44328</v>
      </c>
      <c r="C79" s="107">
        <f t="shared" si="0"/>
        <v>19</v>
      </c>
      <c r="D79" s="21" t="s">
        <v>180</v>
      </c>
      <c r="E79" s="171">
        <v>0.39930555555555558</v>
      </c>
      <c r="F79" s="171">
        <v>0.51041666666666663</v>
      </c>
      <c r="G79" s="105">
        <f t="shared" si="1"/>
        <v>0.11111111111111105</v>
      </c>
      <c r="H79" s="207" t="s">
        <v>191</v>
      </c>
    </row>
    <row r="80" spans="2:8" ht="30" x14ac:dyDescent="0.25">
      <c r="B80" s="145">
        <v>44328</v>
      </c>
      <c r="C80" s="107">
        <f t="shared" si="0"/>
        <v>19</v>
      </c>
      <c r="D80" s="21" t="s">
        <v>180</v>
      </c>
      <c r="E80" s="171">
        <v>0.5625</v>
      </c>
      <c r="F80" s="171">
        <v>0.62847222222222221</v>
      </c>
      <c r="G80" s="105">
        <f t="shared" si="1"/>
        <v>6.597222222222221E-2</v>
      </c>
      <c r="H80" s="207" t="s">
        <v>192</v>
      </c>
    </row>
    <row r="81" spans="2:8" ht="60" x14ac:dyDescent="0.25">
      <c r="B81" s="145">
        <v>44328</v>
      </c>
      <c r="C81" s="107">
        <f t="shared" si="0"/>
        <v>19</v>
      </c>
      <c r="D81" s="21" t="s">
        <v>83</v>
      </c>
      <c r="E81" s="171">
        <v>0.63888888888888895</v>
      </c>
      <c r="F81" s="171">
        <v>0.70486111111111116</v>
      </c>
      <c r="G81" s="105">
        <f t="shared" si="1"/>
        <v>6.597222222222221E-2</v>
      </c>
      <c r="H81" s="207" t="s">
        <v>193</v>
      </c>
    </row>
    <row r="82" spans="2:8" ht="45" x14ac:dyDescent="0.25">
      <c r="B82" s="145">
        <v>44333</v>
      </c>
      <c r="C82" s="107">
        <f t="shared" si="0"/>
        <v>20</v>
      </c>
      <c r="D82" s="21" t="s">
        <v>83</v>
      </c>
      <c r="E82" s="171">
        <v>0.375</v>
      </c>
      <c r="F82" s="171">
        <v>0.40972222222222227</v>
      </c>
      <c r="G82" s="105">
        <f t="shared" si="1"/>
        <v>3.4722222222222265E-2</v>
      </c>
      <c r="H82" s="207" t="s">
        <v>194</v>
      </c>
    </row>
    <row r="83" spans="2:8" ht="75" x14ac:dyDescent="0.25">
      <c r="B83" s="145">
        <v>44333</v>
      </c>
      <c r="C83" s="107">
        <f t="shared" si="0"/>
        <v>20</v>
      </c>
      <c r="D83" s="21" t="s">
        <v>83</v>
      </c>
      <c r="E83" s="171">
        <v>0.4201388888888889</v>
      </c>
      <c r="F83" s="171">
        <v>0.45833333333333331</v>
      </c>
      <c r="G83" s="105">
        <f t="shared" si="1"/>
        <v>3.819444444444442E-2</v>
      </c>
      <c r="H83" s="207" t="s">
        <v>195</v>
      </c>
    </row>
    <row r="84" spans="2:8" ht="30" x14ac:dyDescent="0.25">
      <c r="B84" s="145">
        <v>44333</v>
      </c>
      <c r="C84" s="107">
        <f t="shared" si="0"/>
        <v>20</v>
      </c>
      <c r="D84" s="21" t="s">
        <v>83</v>
      </c>
      <c r="E84" s="171">
        <v>0.45833333333333331</v>
      </c>
      <c r="F84" s="171">
        <v>0.49305555555555558</v>
      </c>
      <c r="G84" s="105">
        <f t="shared" si="1"/>
        <v>3.4722222222222265E-2</v>
      </c>
      <c r="H84" s="207" t="s">
        <v>196</v>
      </c>
    </row>
    <row r="85" spans="2:8" ht="45" x14ac:dyDescent="0.25">
      <c r="B85" s="145">
        <v>44333</v>
      </c>
      <c r="C85" s="107">
        <f t="shared" si="0"/>
        <v>20</v>
      </c>
      <c r="D85" s="21" t="s">
        <v>66</v>
      </c>
      <c r="E85" s="171">
        <v>0.49305555555555558</v>
      </c>
      <c r="F85" s="171">
        <v>0.5</v>
      </c>
      <c r="G85" s="105">
        <f t="shared" si="1"/>
        <v>6.9444444444444198E-3</v>
      </c>
      <c r="H85" s="207" t="s">
        <v>197</v>
      </c>
    </row>
    <row r="86" spans="2:8" ht="60" x14ac:dyDescent="0.25">
      <c r="B86" s="145">
        <v>44333</v>
      </c>
      <c r="C86" s="107">
        <f t="shared" si="0"/>
        <v>20</v>
      </c>
      <c r="D86" s="21" t="s">
        <v>83</v>
      </c>
      <c r="E86" s="171">
        <v>0.5</v>
      </c>
      <c r="F86" s="171">
        <v>0.51041666666666663</v>
      </c>
      <c r="G86" s="105">
        <f t="shared" si="1"/>
        <v>1.041666666666663E-2</v>
      </c>
      <c r="H86" s="207" t="s">
        <v>198</v>
      </c>
    </row>
    <row r="87" spans="2:8" ht="60" x14ac:dyDescent="0.25">
      <c r="B87" s="145">
        <v>44333</v>
      </c>
      <c r="C87" s="107">
        <f t="shared" si="0"/>
        <v>20</v>
      </c>
      <c r="D87" s="21" t="s">
        <v>83</v>
      </c>
      <c r="E87" s="171">
        <v>0.5625</v>
      </c>
      <c r="F87" s="171">
        <v>0.64583333333333337</v>
      </c>
      <c r="G87" s="105">
        <f t="shared" si="1"/>
        <v>8.333333333333337E-2</v>
      </c>
      <c r="H87" s="207" t="s">
        <v>199</v>
      </c>
    </row>
    <row r="88" spans="2:8" ht="30" x14ac:dyDescent="0.25">
      <c r="B88" s="145">
        <v>44333</v>
      </c>
      <c r="C88" s="107">
        <f t="shared" si="0"/>
        <v>20</v>
      </c>
      <c r="D88" s="21" t="s">
        <v>84</v>
      </c>
      <c r="E88" s="171">
        <v>0.64930555555555558</v>
      </c>
      <c r="F88" s="171">
        <v>0.69444444444444453</v>
      </c>
      <c r="G88" s="105">
        <f t="shared" si="1"/>
        <v>4.5138888888888951E-2</v>
      </c>
      <c r="H88" s="207" t="s">
        <v>200</v>
      </c>
    </row>
    <row r="89" spans="2:8" ht="30" x14ac:dyDescent="0.25">
      <c r="B89" s="145">
        <v>44333</v>
      </c>
      <c r="C89" s="107">
        <f t="shared" si="0"/>
        <v>20</v>
      </c>
      <c r="D89" s="21" t="s">
        <v>86</v>
      </c>
      <c r="E89" s="171">
        <v>0.69444444444444453</v>
      </c>
      <c r="F89" s="171">
        <v>0.70486111111111116</v>
      </c>
      <c r="G89" s="105">
        <f t="shared" si="1"/>
        <v>1.041666666666663E-2</v>
      </c>
      <c r="H89" s="207" t="s">
        <v>201</v>
      </c>
    </row>
    <row r="90" spans="2:8" x14ac:dyDescent="0.25">
      <c r="B90" s="145"/>
      <c r="C90" s="107" t="str">
        <f t="shared" si="0"/>
        <v/>
      </c>
      <c r="D90" s="21"/>
      <c r="E90" s="171"/>
      <c r="F90" s="171"/>
      <c r="G90" s="105">
        <f t="shared" si="1"/>
        <v>0</v>
      </c>
      <c r="H90" s="207"/>
    </row>
    <row r="91" spans="2:8" x14ac:dyDescent="0.25">
      <c r="B91" s="145"/>
      <c r="C91" s="107" t="str">
        <f t="shared" si="0"/>
        <v/>
      </c>
      <c r="D91" s="21"/>
      <c r="E91" s="171"/>
      <c r="F91" s="171"/>
      <c r="G91" s="105">
        <f t="shared" si="1"/>
        <v>0</v>
      </c>
      <c r="H91" s="207"/>
    </row>
    <row r="92" spans="2:8" x14ac:dyDescent="0.25">
      <c r="B92" s="145"/>
      <c r="C92" s="107" t="str">
        <f t="shared" si="0"/>
        <v/>
      </c>
      <c r="D92" s="21"/>
      <c r="E92" s="171"/>
      <c r="F92" s="171"/>
      <c r="G92" s="105">
        <f t="shared" si="1"/>
        <v>0</v>
      </c>
      <c r="H92" s="207"/>
    </row>
    <row r="93" spans="2:8" x14ac:dyDescent="0.25">
      <c r="B93" s="145"/>
      <c r="C93" s="107" t="str">
        <f t="shared" si="0"/>
        <v/>
      </c>
      <c r="D93" s="21"/>
      <c r="E93" s="171"/>
      <c r="F93" s="171"/>
      <c r="G93" s="105">
        <f t="shared" si="1"/>
        <v>0</v>
      </c>
      <c r="H93" s="207"/>
    </row>
    <row r="94" spans="2:8" x14ac:dyDescent="0.25">
      <c r="B94" s="145"/>
      <c r="C94" s="107" t="str">
        <f t="shared" si="0"/>
        <v/>
      </c>
      <c r="D94" s="21"/>
      <c r="E94" s="171"/>
      <c r="F94" s="171"/>
      <c r="G94" s="105">
        <f t="shared" si="1"/>
        <v>0</v>
      </c>
      <c r="H94" s="207"/>
    </row>
    <row r="95" spans="2:8" x14ac:dyDescent="0.25">
      <c r="B95" s="145"/>
      <c r="C95" s="107" t="str">
        <f t="shared" si="0"/>
        <v/>
      </c>
      <c r="D95" s="21"/>
      <c r="E95" s="171"/>
      <c r="F95" s="171"/>
      <c r="G95" s="105">
        <f t="shared" si="1"/>
        <v>0</v>
      </c>
      <c r="H95" s="207"/>
    </row>
    <row r="96" spans="2:8" x14ac:dyDescent="0.25">
      <c r="B96" s="145"/>
      <c r="C96" s="107" t="str">
        <f t="shared" si="0"/>
        <v/>
      </c>
      <c r="D96" s="21"/>
      <c r="E96" s="171"/>
      <c r="F96" s="171"/>
      <c r="G96" s="105">
        <f t="shared" si="1"/>
        <v>0</v>
      </c>
      <c r="H96" s="207"/>
    </row>
    <row r="97" spans="2:8" x14ac:dyDescent="0.25">
      <c r="B97" s="145"/>
      <c r="C97" s="107" t="str">
        <f t="shared" si="0"/>
        <v/>
      </c>
      <c r="D97" s="21"/>
      <c r="E97" s="171"/>
      <c r="F97" s="171"/>
      <c r="G97" s="105">
        <f t="shared" si="1"/>
        <v>0</v>
      </c>
      <c r="H97" s="207"/>
    </row>
    <row r="98" spans="2:8" x14ac:dyDescent="0.25">
      <c r="B98" s="145"/>
      <c r="C98" s="107" t="str">
        <f t="shared" si="0"/>
        <v/>
      </c>
      <c r="D98" s="21"/>
      <c r="E98" s="171"/>
      <c r="F98" s="171"/>
      <c r="G98" s="105">
        <f t="shared" si="1"/>
        <v>0</v>
      </c>
      <c r="H98" s="207"/>
    </row>
    <row r="99" spans="2:8" x14ac:dyDescent="0.25">
      <c r="B99" s="145"/>
      <c r="C99" s="107" t="str">
        <f t="shared" si="0"/>
        <v/>
      </c>
      <c r="D99" s="21"/>
      <c r="E99" s="171"/>
      <c r="F99" s="171"/>
      <c r="G99" s="105">
        <f t="shared" si="1"/>
        <v>0</v>
      </c>
      <c r="H99" s="207"/>
    </row>
    <row r="100" spans="2:8" x14ac:dyDescent="0.25">
      <c r="B100" s="145"/>
      <c r="C100" s="107" t="str">
        <f t="shared" si="0"/>
        <v/>
      </c>
      <c r="D100" s="21"/>
      <c r="E100" s="171"/>
      <c r="F100" s="171"/>
      <c r="G100" s="105">
        <f t="shared" si="1"/>
        <v>0</v>
      </c>
      <c r="H100" s="207"/>
    </row>
    <row r="101" spans="2:8" x14ac:dyDescent="0.25">
      <c r="B101" s="145"/>
      <c r="C101" s="107" t="str">
        <f t="shared" si="0"/>
        <v/>
      </c>
      <c r="D101" s="21"/>
      <c r="E101" s="171"/>
      <c r="F101" s="171"/>
      <c r="G101" s="105">
        <f t="shared" si="1"/>
        <v>0</v>
      </c>
      <c r="H101" s="207"/>
    </row>
    <row r="102" spans="2:8" x14ac:dyDescent="0.25">
      <c r="B102" s="145"/>
      <c r="C102" s="107" t="str">
        <f t="shared" si="0"/>
        <v/>
      </c>
      <c r="D102" s="21"/>
      <c r="E102" s="171"/>
      <c r="F102" s="171"/>
      <c r="G102" s="105">
        <f t="shared" si="1"/>
        <v>0</v>
      </c>
      <c r="H102" s="207"/>
    </row>
    <row r="103" spans="2:8" x14ac:dyDescent="0.25">
      <c r="B103" s="145"/>
      <c r="C103" s="107" t="str">
        <f t="shared" si="0"/>
        <v/>
      </c>
      <c r="D103" s="21"/>
      <c r="E103" s="171"/>
      <c r="F103" s="171"/>
      <c r="G103" s="105">
        <f t="shared" si="1"/>
        <v>0</v>
      </c>
      <c r="H103" s="207"/>
    </row>
    <row r="104" spans="2:8" x14ac:dyDescent="0.25">
      <c r="B104" s="145"/>
      <c r="C104" s="107" t="str">
        <f t="shared" si="0"/>
        <v/>
      </c>
      <c r="D104" s="21"/>
      <c r="E104" s="171"/>
      <c r="F104" s="171"/>
      <c r="G104" s="105">
        <f t="shared" si="1"/>
        <v>0</v>
      </c>
      <c r="H104" s="207"/>
    </row>
    <row r="105" spans="2:8" x14ac:dyDescent="0.25">
      <c r="B105" s="145"/>
      <c r="C105" s="107" t="str">
        <f t="shared" si="0"/>
        <v/>
      </c>
      <c r="D105" s="21"/>
      <c r="E105" s="171"/>
      <c r="F105" s="171"/>
      <c r="G105" s="105">
        <f t="shared" si="1"/>
        <v>0</v>
      </c>
      <c r="H105" s="207"/>
    </row>
    <row r="106" spans="2:8" x14ac:dyDescent="0.25">
      <c r="B106" s="145"/>
      <c r="C106" s="107" t="str">
        <f t="shared" si="0"/>
        <v/>
      </c>
      <c r="D106" s="21"/>
      <c r="E106" s="171"/>
      <c r="F106" s="171"/>
      <c r="G106" s="105">
        <f t="shared" si="1"/>
        <v>0</v>
      </c>
      <c r="H106" s="207"/>
    </row>
    <row r="107" spans="2:8" x14ac:dyDescent="0.25">
      <c r="B107" s="145"/>
      <c r="C107" s="107" t="str">
        <f t="shared" si="0"/>
        <v/>
      </c>
      <c r="D107" s="21"/>
      <c r="E107" s="171"/>
      <c r="F107" s="171"/>
      <c r="G107" s="105">
        <f t="shared" si="1"/>
        <v>0</v>
      </c>
      <c r="H107" s="207"/>
    </row>
    <row r="108" spans="2:8" x14ac:dyDescent="0.25">
      <c r="B108" s="145"/>
      <c r="C108" s="107" t="str">
        <f t="shared" si="0"/>
        <v/>
      </c>
      <c r="D108" s="21"/>
      <c r="E108" s="171"/>
      <c r="F108" s="171"/>
      <c r="G108" s="105">
        <f t="shared" si="1"/>
        <v>0</v>
      </c>
      <c r="H108" s="207"/>
    </row>
    <row r="109" spans="2:8" x14ac:dyDescent="0.25">
      <c r="B109" s="145"/>
      <c r="C109" s="107" t="str">
        <f t="shared" si="0"/>
        <v/>
      </c>
      <c r="D109" s="21"/>
      <c r="E109" s="171"/>
      <c r="F109" s="171"/>
      <c r="G109" s="105">
        <f t="shared" si="1"/>
        <v>0</v>
      </c>
      <c r="H109" s="207"/>
    </row>
    <row r="110" spans="2:8" x14ac:dyDescent="0.25">
      <c r="B110" s="145"/>
      <c r="C110" s="107" t="str">
        <f t="shared" si="0"/>
        <v/>
      </c>
      <c r="D110" s="21"/>
      <c r="E110" s="171"/>
      <c r="F110" s="171"/>
      <c r="G110" s="105">
        <f t="shared" si="1"/>
        <v>0</v>
      </c>
      <c r="H110" s="207"/>
    </row>
    <row r="111" spans="2:8" x14ac:dyDescent="0.25">
      <c r="B111" s="145"/>
      <c r="C111" s="107" t="str">
        <f t="shared" si="0"/>
        <v/>
      </c>
      <c r="D111" s="21"/>
      <c r="E111" s="171"/>
      <c r="F111" s="171"/>
      <c r="G111" s="105">
        <f t="shared" si="1"/>
        <v>0</v>
      </c>
      <c r="H111" s="207"/>
    </row>
    <row r="112" spans="2:8" x14ac:dyDescent="0.25">
      <c r="B112" s="145"/>
      <c r="C112" s="107" t="str">
        <f t="shared" si="0"/>
        <v/>
      </c>
      <c r="D112" s="21"/>
      <c r="E112" s="171"/>
      <c r="F112" s="171"/>
      <c r="G112" s="105">
        <f t="shared" si="1"/>
        <v>0</v>
      </c>
      <c r="H112" s="207"/>
    </row>
    <row r="114" spans="6:7" ht="15" customHeight="1" x14ac:dyDescent="0.25">
      <c r="F114" s="146" t="s">
        <v>44</v>
      </c>
      <c r="G114" s="147">
        <f>SUM(G4:G112)</f>
        <v>1.826388888888888</v>
      </c>
    </row>
    <row r="115" spans="6:7" ht="15" customHeight="1" x14ac:dyDescent="0.25">
      <c r="F115" s="146" t="s">
        <v>45</v>
      </c>
      <c r="G115" s="147">
        <f>SUMIF($C$4:$C$112,18,$G$4:$G$112)</f>
        <v>0.86458333333333326</v>
      </c>
    </row>
    <row r="116" spans="6:7" ht="15" customHeight="1" x14ac:dyDescent="0.25">
      <c r="F116" s="146" t="s">
        <v>46</v>
      </c>
      <c r="G116" s="147">
        <f>SUMIF($C$4:$C$112,19,$G$4:$G$112)</f>
        <v>0.6979166666666663</v>
      </c>
    </row>
    <row r="117" spans="6:7" ht="15" customHeight="1" x14ac:dyDescent="0.25">
      <c r="F117" s="146" t="s">
        <v>47</v>
      </c>
      <c r="G117" s="147">
        <f>SUMIF($C$4:$C$112,20,$G$4:$G$112)</f>
        <v>0.26388888888888895</v>
      </c>
    </row>
    <row r="118" spans="6:7" ht="15" customHeight="1" x14ac:dyDescent="0.25">
      <c r="F118" s="146" t="s">
        <v>48</v>
      </c>
      <c r="G118" s="147">
        <f>SUMIF($C$4:$C$112,21,$G$4:$G$112)</f>
        <v>0</v>
      </c>
    </row>
    <row r="119" spans="6:7" ht="15" customHeight="1" x14ac:dyDescent="0.25">
      <c r="F119" s="146" t="s">
        <v>49</v>
      </c>
      <c r="G119" s="147">
        <f>SUMIF($C$4:$C$112,22,$G$4:$G$112)</f>
        <v>0</v>
      </c>
    </row>
  </sheetData>
  <mergeCells count="2">
    <mergeCell ref="D1:E1"/>
    <mergeCell ref="B2:H2"/>
  </mergeCells>
  <conditionalFormatting sqref="F1 E113:F113 F3:F4 E120: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112">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121:B1048576 F114:F119 B1:B113"/>
  </dataValidations>
  <pageMargins left="0.70866141732283472" right="0.70866141732283472" top="0.74803149606299213" bottom="0.74803149606299213" header="0.31496062992125984" footer="0.31496062992125984"/>
  <pageSetup paperSize="9" scale="78"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D4:D112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C1DC7E"/>
    <pageSetUpPr fitToPage="1"/>
  </sheetPr>
  <dimension ref="B1:D66"/>
  <sheetViews>
    <sheetView showGridLines="0" tabSelected="1" topLeftCell="A19" zoomScale="85" zoomScaleNormal="85" workbookViewId="0">
      <selection activeCell="D34" sqref="D34"/>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200" t="s">
        <v>128</v>
      </c>
      <c r="D1" s="199">
        <f ca="1">TODAY()</f>
        <v>44333</v>
      </c>
    </row>
    <row r="2" spans="2:4" ht="29.25" customHeight="1" thickBot="1" x14ac:dyDescent="0.3">
      <c r="B2" s="237" t="s">
        <v>42</v>
      </c>
      <c r="C2" s="237"/>
      <c r="D2" s="237"/>
    </row>
    <row r="3" spans="2:4" s="100" customFormat="1" x14ac:dyDescent="0.25">
      <c r="B3" s="135" t="s">
        <v>37</v>
      </c>
      <c r="C3" s="135" t="s">
        <v>28</v>
      </c>
      <c r="D3" s="106" t="s">
        <v>38</v>
      </c>
    </row>
    <row r="4" spans="2:4" x14ac:dyDescent="0.25">
      <c r="B4" s="141" t="str">
        <f>Base!I4</f>
        <v>101 planification initiale</v>
      </c>
      <c r="C4" s="136">
        <f>SUMIF(Journal!$D$4:$D$112,B4,Journal!$G$4:$G$112)</f>
        <v>3.125E-2</v>
      </c>
      <c r="D4" s="142" t="s">
        <v>106</v>
      </c>
    </row>
    <row r="5" spans="2:4" x14ac:dyDescent="0.25">
      <c r="B5" s="141" t="str">
        <f>Base!I5</f>
        <v>102 objectifs du projet</v>
      </c>
      <c r="C5" s="136">
        <f>SUMIF(Journal!$D$4:$D$112,B5,Journal!$G$4:$G$112)</f>
        <v>1.736111111111116E-2</v>
      </c>
      <c r="D5" s="142" t="s">
        <v>106</v>
      </c>
    </row>
    <row r="6" spans="2:4" x14ac:dyDescent="0.25">
      <c r="B6" s="141" t="str">
        <f>Base!I6</f>
        <v>103 introduction du projet</v>
      </c>
      <c r="C6" s="136">
        <f>SUMIF(Journal!$D$4:$D$112,B6,Journal!$G$4:$G$112)</f>
        <v>1.388888888888884E-2</v>
      </c>
      <c r="D6" s="142" t="s">
        <v>106</v>
      </c>
    </row>
    <row r="7" spans="2:4" x14ac:dyDescent="0.25">
      <c r="B7" s="141" t="str">
        <f>Base!I7</f>
        <v>104 découpage du projet en tâches distinctes</v>
      </c>
      <c r="C7" s="136">
        <f>SUMIF(Journal!$D$4:$D$112,B7,Journal!$G$4:$G$112)</f>
        <v>4.1666666666666685E-2</v>
      </c>
      <c r="D7" s="142" t="s">
        <v>106</v>
      </c>
    </row>
    <row r="8" spans="2:4" x14ac:dyDescent="0.25">
      <c r="B8" s="141" t="str">
        <f>Base!I8</f>
        <v>105 -</v>
      </c>
      <c r="C8" s="136">
        <f>SUMIF(Journal!$D$4:$D$112,B8,Journal!$G$4:$G$112)</f>
        <v>0</v>
      </c>
      <c r="D8" s="142"/>
    </row>
    <row r="9" spans="2:4" x14ac:dyDescent="0.25">
      <c r="B9" s="141" t="str">
        <f>Base!I9</f>
        <v>106 -</v>
      </c>
      <c r="C9" s="136">
        <f>SUMIF(Journal!$D$4:$D$112,B9,Journal!$G$4:$G$112)</f>
        <v>0</v>
      </c>
      <c r="D9" s="142"/>
    </row>
    <row r="10" spans="2:4" x14ac:dyDescent="0.25">
      <c r="B10" s="141" t="str">
        <f>Base!I10</f>
        <v>201 choix de l'architecture</v>
      </c>
      <c r="C10" s="136">
        <f>SUMIF(Journal!$D$4:$D$112,B10,Journal!$G$4:$G$112)</f>
        <v>1.736111111111116E-2</v>
      </c>
      <c r="D10" s="142" t="s">
        <v>106</v>
      </c>
    </row>
    <row r="11" spans="2:4" x14ac:dyDescent="0.25">
      <c r="B11" s="141" t="str">
        <f>Base!I11</f>
        <v>202 modélisation conceptuelle de la BDD</v>
      </c>
      <c r="C11" s="136">
        <f>SUMIF(Journal!$D$4:$D$112,B11,Journal!$G$4:$G$112)</f>
        <v>5.5555555555555525E-2</v>
      </c>
      <c r="D11" s="142" t="s">
        <v>106</v>
      </c>
    </row>
    <row r="12" spans="2:4" x14ac:dyDescent="0.25">
      <c r="B12" s="141" t="str">
        <f>Base!I12</f>
        <v>203 modélisation logique de la BDD</v>
      </c>
      <c r="C12" s="136">
        <f>SUMIF(Journal!$D$4:$D$112,B12,Journal!$G$4:$G$112)</f>
        <v>3.472222222222221E-2</v>
      </c>
      <c r="D12" s="142" t="s">
        <v>106</v>
      </c>
    </row>
    <row r="13" spans="2:4" x14ac:dyDescent="0.25">
      <c r="B13" s="141" t="str">
        <f>Base!I13</f>
        <v>204 maquettes de l'application</v>
      </c>
      <c r="C13" s="136">
        <f>SUMIF(Journal!$D$4:$D$112,B13,Journal!$G$4:$G$112)</f>
        <v>0.10069444444444453</v>
      </c>
      <c r="D13" s="142" t="s">
        <v>106</v>
      </c>
    </row>
    <row r="14" spans="2:4" x14ac:dyDescent="0.25">
      <c r="B14" s="141" t="str">
        <f>Base!I14</f>
        <v>205 diagrammes de flux</v>
      </c>
      <c r="C14" s="136">
        <f>SUMIF(Journal!$D$4:$D$112,B14,Journal!$G$4:$G$112)</f>
        <v>1.3888888888888895E-2</v>
      </c>
      <c r="D14" s="142"/>
    </row>
    <row r="15" spans="2:4" x14ac:dyDescent="0.25">
      <c r="B15" s="141" t="str">
        <f>Base!I15</f>
        <v>206 cas d'utilisation de l'application</v>
      </c>
      <c r="C15" s="136">
        <f>SUMIF(Journal!$D$4:$D$112,B15,Journal!$G$4:$G$112)</f>
        <v>3.1249999999999944E-2</v>
      </c>
      <c r="D15" s="142" t="s">
        <v>106</v>
      </c>
    </row>
    <row r="16" spans="2:4" x14ac:dyDescent="0.25">
      <c r="B16" s="141" t="str">
        <f>Base!I16</f>
        <v>207 scénarios de l'application</v>
      </c>
      <c r="C16" s="136">
        <f>SUMIF(Journal!$D$4:$D$112,B16,Journal!$G$4:$G$112)</f>
        <v>8.3333333333333315E-2</v>
      </c>
      <c r="D16" s="142" t="s">
        <v>106</v>
      </c>
    </row>
    <row r="17" spans="2:4" x14ac:dyDescent="0.25">
      <c r="B17" s="141" t="str">
        <f>Base!I17</f>
        <v>208 diagrammes de classe</v>
      </c>
      <c r="C17" s="136">
        <f>SUMIF(Journal!$D$4:$D$112,B17,Journal!$G$4:$G$112)</f>
        <v>3.1250000000000056E-2</v>
      </c>
      <c r="D17" s="142" t="s">
        <v>106</v>
      </c>
    </row>
    <row r="18" spans="2:4" x14ac:dyDescent="0.25">
      <c r="B18" s="141" t="str">
        <f>Base!I18</f>
        <v>209 schéma de navigation de l'application</v>
      </c>
      <c r="C18" s="136">
        <f>SUMIF(Journal!$D$4:$D$112,B18,Journal!$G$4:$G$112)</f>
        <v>2.430555555555558E-2</v>
      </c>
      <c r="D18" s="142" t="s">
        <v>106</v>
      </c>
    </row>
    <row r="19" spans="2:4" x14ac:dyDescent="0.25">
      <c r="B19" s="141" t="str">
        <f>Base!I19</f>
        <v>210 fonctionnalités du projet</v>
      </c>
      <c r="C19" s="136">
        <f>SUMIF(Journal!$D$4:$D$112,B19,Journal!$G$4:$G$112)</f>
        <v>5.2083333333333315E-2</v>
      </c>
      <c r="D19" s="142" t="s">
        <v>106</v>
      </c>
    </row>
    <row r="20" spans="2:4" x14ac:dyDescent="0.25">
      <c r="B20" s="141" t="str">
        <f>Base!I20</f>
        <v>211 déclaration du cadre du projet</v>
      </c>
      <c r="C20" s="136">
        <f>SUMIF(Journal!$D$4:$D$112,B20,Journal!$G$4:$G$112)</f>
        <v>1.388888888888884E-2</v>
      </c>
      <c r="D20" s="142" t="s">
        <v>106</v>
      </c>
    </row>
    <row r="21" spans="2:4" x14ac:dyDescent="0.25">
      <c r="B21" s="141" t="str">
        <f>Base!I21</f>
        <v>212 risques techniques</v>
      </c>
      <c r="C21" s="136">
        <f>SUMIF(Journal!$D$4:$D$112,B21,Journal!$G$4:$G$112)</f>
        <v>0</v>
      </c>
      <c r="D21" s="142" t="s">
        <v>106</v>
      </c>
    </row>
    <row r="22" spans="2:4" x14ac:dyDescent="0.25">
      <c r="B22" s="141" t="str">
        <f>Base!I22</f>
        <v>213 planification définitive</v>
      </c>
      <c r="C22" s="136">
        <f>SUMIF(Journal!$D$4:$D$112,B22,Journal!$G$4:$G$112)</f>
        <v>1.7361111111111049E-2</v>
      </c>
      <c r="D22" s="142" t="s">
        <v>106</v>
      </c>
    </row>
    <row r="23" spans="2:4" x14ac:dyDescent="0.25">
      <c r="B23" s="141" t="str">
        <f>Base!I23</f>
        <v>214 recherche sur l'impression depuis l'application</v>
      </c>
      <c r="C23" s="136">
        <f>SUMIF(Journal!$D$4:$D$112,B23,Journal!$G$4:$G$112)</f>
        <v>0</v>
      </c>
      <c r="D23" s="142"/>
    </row>
    <row r="24" spans="2:4" x14ac:dyDescent="0.25">
      <c r="B24" s="141" t="str">
        <f>Base!I24</f>
        <v>215 matériel hardware et software</v>
      </c>
      <c r="C24" s="136">
        <f>SUMIF(Journal!$D$4:$D$112,B24,Journal!$G$4:$G$112)</f>
        <v>2.083333333333337E-2</v>
      </c>
      <c r="D24" s="142" t="s">
        <v>106</v>
      </c>
    </row>
    <row r="25" spans="2:4" x14ac:dyDescent="0.25">
      <c r="B25" s="141" t="str">
        <f>Base!I25</f>
        <v>216 -</v>
      </c>
      <c r="C25" s="136">
        <f>SUMIF(Journal!$D$4:$D$112,B25,Journal!$G$4:$G$112)</f>
        <v>0</v>
      </c>
      <c r="D25" s="142"/>
    </row>
    <row r="26" spans="2:4" x14ac:dyDescent="0.25">
      <c r="B26" s="141" t="str">
        <f>Base!I26</f>
        <v>300 mise en place de la BDD</v>
      </c>
      <c r="C26" s="136">
        <f>SUMIF(Journal!$D$4:$D$112,B26,Journal!$G$4:$G$112)</f>
        <v>5.2083333333333315E-2</v>
      </c>
      <c r="D26" s="142" t="s">
        <v>102</v>
      </c>
    </row>
    <row r="27" spans="2:4" x14ac:dyDescent="0.25">
      <c r="B27" s="141" t="str">
        <f>Base!I27</f>
        <v>301 réaliser la partie graphique de l'application</v>
      </c>
      <c r="C27" s="136">
        <f>SUMIF(Journal!$D$4:$D$112,B27,Journal!$G$4:$G$112)</f>
        <v>0.10763888888888878</v>
      </c>
      <c r="D27" s="142" t="s">
        <v>106</v>
      </c>
    </row>
    <row r="28" spans="2:4" x14ac:dyDescent="0.25">
      <c r="B28" s="141" t="str">
        <f>Base!I28</f>
        <v>302 mettre en place la connexion à la BDD</v>
      </c>
      <c r="C28" s="136">
        <f>SUMIF(Journal!$D$4:$D$112,B28,Journal!$G$4:$G$112)</f>
        <v>1.7361111111111105E-2</v>
      </c>
      <c r="D28" s="142" t="s">
        <v>106</v>
      </c>
    </row>
    <row r="29" spans="2:4" x14ac:dyDescent="0.25">
      <c r="B29" s="141" t="str">
        <f>Base!I29</f>
        <v>303 mettre en place la classe "bouteille"</v>
      </c>
      <c r="C29" s="136">
        <f>SUMIF(Journal!$D$4:$D$112,B29,Journal!$G$4:$G$112)</f>
        <v>4.5138888888888729E-2</v>
      </c>
      <c r="D29" s="142" t="s">
        <v>106</v>
      </c>
    </row>
    <row r="30" spans="2:4" x14ac:dyDescent="0.25">
      <c r="B30" s="141" t="str">
        <f>Base!I30</f>
        <v>304 mettre en place la classe "casier"</v>
      </c>
      <c r="C30" s="136">
        <f>SUMIF(Journal!$D$4:$D$112,B30,Journal!$G$4:$G$112)</f>
        <v>1.3888888888888895E-2</v>
      </c>
      <c r="D30" s="142" t="s">
        <v>106</v>
      </c>
    </row>
    <row r="31" spans="2:4" x14ac:dyDescent="0.25">
      <c r="B31" s="141" t="str">
        <f>Base!I31</f>
        <v>305 implémenter l'ajout de bouteilles</v>
      </c>
      <c r="C31" s="136">
        <f>SUMIF(Journal!$D$4:$D$112,B31,Journal!$G$4:$G$112)</f>
        <v>0.26736111111111116</v>
      </c>
      <c r="D31" s="142" t="s">
        <v>102</v>
      </c>
    </row>
    <row r="32" spans="2:4" x14ac:dyDescent="0.25">
      <c r="B32" s="141" t="str">
        <f>Base!I32</f>
        <v>306 implémenter le retrait de bouteilles</v>
      </c>
      <c r="C32" s="136">
        <f>SUMIF(Journal!$D$4:$D$112,B32,Journal!$G$4:$G$112)</f>
        <v>4.5138888888888951E-2</v>
      </c>
      <c r="D32" s="142" t="s">
        <v>102</v>
      </c>
    </row>
    <row r="33" spans="2:4" x14ac:dyDescent="0.25">
      <c r="B33" s="141" t="str">
        <f>Base!I33</f>
        <v>307 implémenter l'historisation des actions effectuées</v>
      </c>
      <c r="C33" s="136">
        <f>SUMIF(Journal!$D$4:$D$112,B33,Journal!$G$4:$G$112)</f>
        <v>0</v>
      </c>
      <c r="D33" s="142"/>
    </row>
    <row r="34" spans="2:4" x14ac:dyDescent="0.25">
      <c r="B34" s="141" t="str">
        <f>Base!I34</f>
        <v>308 implémenter la recherche par mot-clé</v>
      </c>
      <c r="C34" s="136">
        <f>SUMIF(Journal!$D$4:$D$112,B34,Journal!$G$4:$G$112)</f>
        <v>1.041666666666663E-2</v>
      </c>
      <c r="D34" s="142"/>
    </row>
    <row r="35" spans="2:4" x14ac:dyDescent="0.25">
      <c r="B35" s="141" t="str">
        <f>Base!I35</f>
        <v>309 implémenter la recherche par couleur de robe</v>
      </c>
      <c r="C35" s="136">
        <f>SUMIF(Journal!$D$4:$D$112,B35,Journal!$G$4:$G$112)</f>
        <v>0</v>
      </c>
      <c r="D35" s="142"/>
    </row>
    <row r="36" spans="2:4" x14ac:dyDescent="0.25">
      <c r="B36" s="141" t="str">
        <f>Base!I36</f>
        <v>310 implémenter la recherche par cépage</v>
      </c>
      <c r="C36" s="136">
        <f>SUMIF(Journal!$D$4:$D$112,B36,Journal!$G$4:$G$112)</f>
        <v>0</v>
      </c>
      <c r="D36" s="142"/>
    </row>
    <row r="37" spans="2:4" x14ac:dyDescent="0.25">
      <c r="B37" s="141" t="str">
        <f>Base!I37</f>
        <v>311 implémenter la recherche par producteur</v>
      </c>
      <c r="C37" s="136">
        <f>SUMIF(Journal!$D$4:$D$112,B37,Journal!$G$4:$G$112)</f>
        <v>0</v>
      </c>
      <c r="D37" s="142"/>
    </row>
    <row r="38" spans="2:4" x14ac:dyDescent="0.25">
      <c r="B38" s="141" t="str">
        <f>Base!I38</f>
        <v>312 implémenter la recherche par pays</v>
      </c>
      <c r="C38" s="136">
        <f>SUMIF(Journal!$D$4:$D$112,B38,Journal!$G$4:$G$112)</f>
        <v>0</v>
      </c>
      <c r="D38" s="142"/>
    </row>
    <row r="39" spans="2:4" x14ac:dyDescent="0.25">
      <c r="B39" s="141" t="str">
        <f>Base!I39</f>
        <v>313 implémenter l'export d'une liste triée par PDF</v>
      </c>
      <c r="C39" s="136">
        <f>SUMIF(Journal!$D$4:$D$112,B39,Journal!$G$4:$G$112)</f>
        <v>0</v>
      </c>
      <c r="D39" s="142"/>
    </row>
    <row r="40" spans="2:4" x14ac:dyDescent="0.25">
      <c r="B40" s="141" t="str">
        <f>Base!I40</f>
        <v>314 implémenter l'ajout de casiers</v>
      </c>
      <c r="C40" s="136">
        <f>SUMIF(Journal!$D$4:$D$112,B40,Journal!$G$4:$G$112)</f>
        <v>0</v>
      </c>
      <c r="D40" s="142"/>
    </row>
    <row r="41" spans="2:4" x14ac:dyDescent="0.25">
      <c r="B41" s="141" t="str">
        <f>Base!I41</f>
        <v>315 implémenter le retrait de casiers</v>
      </c>
      <c r="C41" s="136">
        <f>SUMIF(Journal!$D$4:$D$112,B41,Journal!$G$4:$G$112)</f>
        <v>0</v>
      </c>
      <c r="D41" s="142"/>
    </row>
    <row r="42" spans="2:4" x14ac:dyDescent="0.25">
      <c r="B42" s="141" t="str">
        <f>Base!I42</f>
        <v>316 implémenter une alerte sur éléments spécifiques</v>
      </c>
      <c r="C42" s="136">
        <f>SUMIF(Journal!$D$4:$D$112,B42,Journal!$G$4:$G$112)</f>
        <v>0</v>
      </c>
      <c r="D42" s="142"/>
    </row>
    <row r="43" spans="2:4" x14ac:dyDescent="0.25">
      <c r="B43" s="141" t="str">
        <f>Base!I43</f>
        <v>317 implémenter l'impression d'une liste triée</v>
      </c>
      <c r="C43" s="136">
        <f>SUMIF(Journal!$D$4:$D$112,B43,Journal!$G$4:$G$112)</f>
        <v>0</v>
      </c>
      <c r="D43" s="142"/>
    </row>
    <row r="44" spans="2:4" x14ac:dyDescent="0.25">
      <c r="B44" s="141" t="str">
        <f>Base!I44</f>
        <v>318 mettre en place la classe "alerte"</v>
      </c>
      <c r="C44" s="136">
        <f>SUMIF(Journal!$D$4:$D$112,B44,Journal!$G$4:$G$112)</f>
        <v>1.041666666666663E-2</v>
      </c>
      <c r="D44" s="142" t="s">
        <v>106</v>
      </c>
    </row>
    <row r="45" spans="2:4" x14ac:dyDescent="0.25">
      <c r="B45" s="141" t="str">
        <f>Base!I45</f>
        <v>319 mettre en place la classe "logs"</v>
      </c>
      <c r="C45" s="136">
        <f>SUMIF(Journal!$D$4:$D$112,B45,Journal!$G$4:$G$112)</f>
        <v>6.9444444444444753E-3</v>
      </c>
      <c r="D45" s="142" t="s">
        <v>102</v>
      </c>
    </row>
    <row r="46" spans="2:4" x14ac:dyDescent="0.25">
      <c r="B46" s="141" t="str">
        <f>Base!I46</f>
        <v>320 génération des requêtes d'affichage de données</v>
      </c>
      <c r="C46" s="136">
        <f>SUMIF(Journal!$D$4:$D$112,B46,Journal!$G$4:$G$112)</f>
        <v>0.32291666666666657</v>
      </c>
      <c r="D46" s="142" t="s">
        <v>102</v>
      </c>
    </row>
    <row r="47" spans="2:4" x14ac:dyDescent="0.25">
      <c r="B47" s="141" t="str">
        <f>Base!I47</f>
        <v xml:space="preserve">321 - </v>
      </c>
      <c r="C47" s="136">
        <f>SUMIF(Journal!$D$4:$D$112,B47,Journal!$G$4:$G$112)</f>
        <v>0</v>
      </c>
      <c r="D47" s="142"/>
    </row>
    <row r="48" spans="2:4" x14ac:dyDescent="0.25">
      <c r="B48" s="141" t="str">
        <f>Base!I48</f>
        <v xml:space="preserve">322 - </v>
      </c>
      <c r="C48" s="136">
        <f>SUMIF(Journal!$D$4:$D$112,B48,Journal!$G$4:$G$112)</f>
        <v>0</v>
      </c>
      <c r="D48" s="142"/>
    </row>
    <row r="49" spans="2:4" x14ac:dyDescent="0.25">
      <c r="B49" s="141" t="str">
        <f>Base!I49</f>
        <v>401 mise en forme du rapport de projet</v>
      </c>
      <c r="C49" s="136">
        <f>SUMIF(Journal!$D$4:$D$112,B49,Journal!$G$4:$G$112)</f>
        <v>0.15972222222222204</v>
      </c>
      <c r="D49" s="142" t="s">
        <v>102</v>
      </c>
    </row>
    <row r="50" spans="2:4" x14ac:dyDescent="0.25">
      <c r="B50" s="141" t="str">
        <f>Base!I50</f>
        <v>402 journal de travail</v>
      </c>
      <c r="C50" s="136">
        <f>SUMIF(Journal!$D$4:$D$112,B50,Journal!$G$4:$G$112)</f>
        <v>1.041666666666663E-2</v>
      </c>
      <c r="D50" s="142" t="s">
        <v>102</v>
      </c>
    </row>
    <row r="51" spans="2:4" x14ac:dyDescent="0.25">
      <c r="B51" s="141" t="str">
        <f>Base!I51</f>
        <v>403 procédure d'installation</v>
      </c>
      <c r="C51" s="136">
        <f>SUMIF(Journal!$D$4:$D$112,B51,Journal!$G$4:$G$112)</f>
        <v>0</v>
      </c>
      <c r="D51" s="142"/>
    </row>
    <row r="52" spans="2:4" x14ac:dyDescent="0.25">
      <c r="B52" s="141" t="str">
        <f>Base!I52</f>
        <v>404 stratégie de test</v>
      </c>
      <c r="C52" s="136">
        <f>SUMIF(Journal!$D$4:$D$112,B52,Journal!$G$4:$G$112)</f>
        <v>0</v>
      </c>
      <c r="D52" s="142" t="s">
        <v>106</v>
      </c>
    </row>
    <row r="53" spans="2:4" x14ac:dyDescent="0.25">
      <c r="B53" s="141" t="str">
        <f>Base!I53</f>
        <v>405 mise en place du GitHub</v>
      </c>
      <c r="C53" s="136">
        <f>SUMIF(Journal!$D$4:$D$112,B53,Journal!$G$4:$G$112)</f>
        <v>2.4305555555555636E-2</v>
      </c>
      <c r="D53" s="142" t="s">
        <v>106</v>
      </c>
    </row>
    <row r="54" spans="2:4" x14ac:dyDescent="0.25">
      <c r="B54" s="141" t="str">
        <f>Base!I54</f>
        <v>406 envoi de l'avancée au CdP et aux experts</v>
      </c>
      <c r="C54" s="136">
        <f>SUMIF(Journal!$D$4:$D$112,B54,Journal!$G$4:$G$112)</f>
        <v>2.0833333333333481E-2</v>
      </c>
      <c r="D54" s="142"/>
    </row>
    <row r="55" spans="2:4" x14ac:dyDescent="0.25">
      <c r="B55" s="141" t="str">
        <f>Base!I55</f>
        <v>501 réalisation des tests unitaires</v>
      </c>
      <c r="C55" s="136">
        <f>SUMIF(Journal!$D$4:$D$112,B55,Journal!$G$4:$G$112)</f>
        <v>0</v>
      </c>
      <c r="D55" s="142"/>
    </row>
    <row r="56" spans="2:4" x14ac:dyDescent="0.25">
      <c r="B56" s="141" t="str">
        <f>Base!I56</f>
        <v>502 réalisation des tests d'intégration</v>
      </c>
      <c r="C56" s="136">
        <f>SUMIF(Journal!$D$4:$D$112,B56,Journal!$G$4:$G$112)</f>
        <v>0</v>
      </c>
      <c r="D56" s="142"/>
    </row>
    <row r="57" spans="2:4" x14ac:dyDescent="0.25">
      <c r="B57" s="141" t="str">
        <f>Base!I57</f>
        <v>503 réalisation des tests fonctionnels</v>
      </c>
      <c r="C57" s="136">
        <f>SUMIF(Journal!$D$4:$D$112,B57,Journal!$G$4:$G$112)</f>
        <v>0</v>
      </c>
      <c r="D57" s="142"/>
    </row>
    <row r="58" spans="2:4" x14ac:dyDescent="0.25">
      <c r="B58" s="141" t="str">
        <f>Base!I58</f>
        <v>504 mise en forme des résultats des tests</v>
      </c>
      <c r="C58" s="136">
        <f>SUMIF(Journal!$D$4:$D$112,B58,Journal!$G$4:$G$112)</f>
        <v>0</v>
      </c>
      <c r="D58" s="142"/>
    </row>
    <row r="59" spans="2:4" x14ac:dyDescent="0.25">
      <c r="B59" s="141" t="str">
        <f>Base!I59</f>
        <v>505 -</v>
      </c>
      <c r="C59" s="136">
        <f>SUMIF(Journal!$D$4:$D$112,B59,Journal!$G$4:$G$112)</f>
        <v>0</v>
      </c>
      <c r="D59" s="142"/>
    </row>
    <row r="60" spans="2:4" x14ac:dyDescent="0.25">
      <c r="B60" s="141" t="str">
        <f>Base!I60</f>
        <v>506 -</v>
      </c>
      <c r="C60" s="136">
        <f>SUMIF(Journal!$D$4:$D$112,B60,Journal!$G$4:$G$112)</f>
        <v>0</v>
      </c>
      <c r="D60" s="142"/>
    </row>
    <row r="61" spans="2:4" x14ac:dyDescent="0.25">
      <c r="B61" s="141" t="str">
        <f>Base!I61</f>
        <v>601 réunion avec monsieur C.Egger, CdP</v>
      </c>
      <c r="C61" s="136">
        <f>SUMIF(Journal!$D$4:$D$112,B61,Journal!$G$4:$G$112)</f>
        <v>2.430555555555558E-2</v>
      </c>
      <c r="D61" s="142"/>
    </row>
    <row r="62" spans="2:4" x14ac:dyDescent="0.25">
      <c r="B62" s="141" t="str">
        <f>Base!I62</f>
        <v>602 réunion avec monsieur G.Gruaz, expert 1</v>
      </c>
      <c r="C62" s="136">
        <f>SUMIF(Journal!$D$4:$D$112,B62,Journal!$G$4:$G$112)</f>
        <v>1.736111111111116E-2</v>
      </c>
      <c r="D62" s="142"/>
    </row>
    <row r="63" spans="2:4" x14ac:dyDescent="0.25">
      <c r="B63" s="141" t="str">
        <f>Base!I63</f>
        <v>603 réunion avec monsieur A.Roy, expert 2</v>
      </c>
      <c r="C63" s="136">
        <f>SUMIF(Journal!$D$4:$D$112,B63,Journal!$G$4:$G$112)</f>
        <v>0</v>
      </c>
      <c r="D63" s="142"/>
    </row>
    <row r="64" spans="2:4" x14ac:dyDescent="0.25">
      <c r="B64" s="141" t="str">
        <f>Base!I64</f>
        <v>604 réunion avec une personne extérieure</v>
      </c>
      <c r="C64" s="136">
        <f>SUMIF(Journal!$D$4:$D$112,B64,Journal!$G$4:$G$112)</f>
        <v>3.1249999999999944E-2</v>
      </c>
      <c r="D64" s="142"/>
    </row>
    <row r="65" spans="2:4" x14ac:dyDescent="0.25">
      <c r="B65" s="141" t="str">
        <f>Base!I65</f>
        <v>605 -</v>
      </c>
      <c r="C65" s="136">
        <f>SUMIF(Journal!$D$4:$D$112,B65,Journal!$G$4:$G$112)</f>
        <v>0</v>
      </c>
      <c r="D65" s="142"/>
    </row>
    <row r="66" spans="2:4" ht="15.75" thickBot="1" x14ac:dyDescent="0.3">
      <c r="B66" s="143" t="str">
        <f>Base!I66</f>
        <v>606 -</v>
      </c>
      <c r="C66" s="137">
        <f>SUMIF(Journal!$D$4:$D$112,B66,Journal!$G$4:$G$112)</f>
        <v>0</v>
      </c>
      <c r="D66" s="144"/>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Planif initiale</vt:lpstr>
      <vt:lpstr>Planif déf</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2021-05-17T14:52:56Z</cp:lastPrinted>
  <dcterms:created xsi:type="dcterms:W3CDTF">2015-01-22T08:10:30Z</dcterms:created>
  <dcterms:modified xsi:type="dcterms:W3CDTF">2021-05-17T14:53:01Z</dcterms:modified>
</cp:coreProperties>
</file>