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costa\Documents\GitHub\TPI_gestionCaveAVin\docs_avec_modification\"/>
    </mc:Choice>
  </mc:AlternateContent>
  <bookViews>
    <workbookView xWindow="1200" yWindow="30" windowWidth="24960" windowHeight="12750" activeTab="2"/>
  </bookViews>
  <sheets>
    <sheet name="Base" sheetId="7" r:id="rId1"/>
    <sheet name="Planif initiale" sheetId="8" r:id="rId2"/>
    <sheet name="Journal" sheetId="6" r:id="rId3"/>
    <sheet name="Avancée" sheetId="10" r:id="rId4"/>
  </sheets>
  <definedNames>
    <definedName name="listeTache" localSheetId="0">Base!$I$4:$I$25,Base!$I$26:$I$48,Base!$I$49:$I$66</definedName>
  </definedNames>
  <calcPr calcId="162913"/>
</workbook>
</file>

<file path=xl/calcChain.xml><?xml version="1.0" encoding="utf-8"?>
<calcChain xmlns="http://schemas.openxmlformats.org/spreadsheetml/2006/main">
  <c r="C5" i="10" l="1"/>
  <c r="H1" i="6" l="1"/>
  <c r="D1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4" i="6"/>
  <c r="B63" i="10" l="1"/>
  <c r="C63" i="10" s="1"/>
  <c r="B64" i="10"/>
  <c r="C64" i="10" s="1"/>
  <c r="B65" i="10"/>
  <c r="C65" i="10" s="1"/>
  <c r="B66" i="10"/>
  <c r="C66" i="10" s="1"/>
  <c r="B53" i="10"/>
  <c r="B54" i="10"/>
  <c r="C54" i="10" s="1"/>
  <c r="B55" i="10"/>
  <c r="C55" i="10" s="1"/>
  <c r="B56" i="10"/>
  <c r="C56" i="10" s="1"/>
  <c r="B57" i="10"/>
  <c r="C57" i="10" s="1"/>
  <c r="B58" i="10"/>
  <c r="C58" i="10" s="1"/>
  <c r="B59" i="10"/>
  <c r="C59" i="10" s="1"/>
  <c r="B60" i="10"/>
  <c r="C60" i="10" s="1"/>
  <c r="B61" i="10"/>
  <c r="B62" i="10"/>
  <c r="B50" i="10"/>
  <c r="B51" i="10"/>
  <c r="C51" i="10" s="1"/>
  <c r="B52" i="10"/>
  <c r="C52" i="10" s="1"/>
  <c r="B49" i="10"/>
  <c r="C49" i="10" s="1"/>
  <c r="B46" i="10"/>
  <c r="C46" i="10" s="1"/>
  <c r="B47" i="10"/>
  <c r="C47" i="10" s="1"/>
  <c r="B48" i="10"/>
  <c r="C48" i="10" s="1"/>
  <c r="B27" i="10"/>
  <c r="C27" i="10" s="1"/>
  <c r="B28" i="10"/>
  <c r="C28" i="10" s="1"/>
  <c r="B29" i="10"/>
  <c r="C29" i="10" s="1"/>
  <c r="B30" i="10"/>
  <c r="C30" i="10" s="1"/>
  <c r="B31" i="10"/>
  <c r="C31" i="10" s="1"/>
  <c r="B32" i="10"/>
  <c r="C32" i="10" s="1"/>
  <c r="B33" i="10"/>
  <c r="C33" i="10" s="1"/>
  <c r="B34" i="10"/>
  <c r="C34" i="10" s="1"/>
  <c r="B35" i="10"/>
  <c r="C35" i="10" s="1"/>
  <c r="B36" i="10"/>
  <c r="C36" i="10" s="1"/>
  <c r="B37" i="10"/>
  <c r="C37" i="10" s="1"/>
  <c r="B38" i="10"/>
  <c r="C38" i="10" s="1"/>
  <c r="B39" i="10"/>
  <c r="C39" i="10" s="1"/>
  <c r="B40" i="10"/>
  <c r="C40" i="10" s="1"/>
  <c r="B41" i="10"/>
  <c r="C41" i="10" s="1"/>
  <c r="B42" i="10"/>
  <c r="C42" i="10" s="1"/>
  <c r="B43" i="10"/>
  <c r="C43" i="10" s="1"/>
  <c r="B44" i="10"/>
  <c r="C44" i="10" s="1"/>
  <c r="B45" i="10"/>
  <c r="C45" i="10" s="1"/>
  <c r="B26" i="10"/>
  <c r="C26" i="10" s="1"/>
  <c r="B4" i="10"/>
  <c r="B5" i="10"/>
  <c r="B6" i="10"/>
  <c r="C6" i="10" s="1"/>
  <c r="B7" i="10"/>
  <c r="B8" i="10"/>
  <c r="C8" i="10" s="1"/>
  <c r="B9" i="10"/>
  <c r="C9" i="10" s="1"/>
  <c r="B10" i="10"/>
  <c r="C10" i="10" s="1"/>
  <c r="B11" i="10"/>
  <c r="C11" i="10" s="1"/>
  <c r="B12" i="10"/>
  <c r="C12" i="10" s="1"/>
  <c r="B13" i="10"/>
  <c r="C13" i="10" s="1"/>
  <c r="B14" i="10"/>
  <c r="C14" i="10" s="1"/>
  <c r="B15" i="10"/>
  <c r="C15" i="10" s="1"/>
  <c r="B16" i="10"/>
  <c r="C16" i="10" s="1"/>
  <c r="B17" i="10"/>
  <c r="C17" i="10" s="1"/>
  <c r="B18" i="10"/>
  <c r="C18" i="10" s="1"/>
  <c r="B19" i="10"/>
  <c r="C19" i="10" s="1"/>
  <c r="B20" i="10"/>
  <c r="C20" i="10" s="1"/>
  <c r="B21" i="10"/>
  <c r="C21" i="10" s="1"/>
  <c r="B22" i="10"/>
  <c r="C22" i="10" s="1"/>
  <c r="B23" i="10"/>
  <c r="C23" i="10" s="1"/>
  <c r="B24" i="10"/>
  <c r="C24" i="10" s="1"/>
  <c r="B25" i="10"/>
  <c r="C25" i="10" s="1"/>
  <c r="B75" i="8" l="1"/>
  <c r="B76" i="8"/>
  <c r="B77" i="8"/>
  <c r="B78" i="8"/>
  <c r="B79" i="8"/>
  <c r="B74" i="8"/>
  <c r="B53" i="8"/>
  <c r="B54" i="8"/>
  <c r="B55" i="8"/>
  <c r="B46" i="8"/>
  <c r="B47" i="8"/>
  <c r="B48" i="8"/>
  <c r="B49" i="8"/>
  <c r="B50" i="8"/>
  <c r="B51" i="8"/>
  <c r="B52" i="8"/>
  <c r="B34" i="8"/>
  <c r="B35" i="8"/>
  <c r="B36" i="8"/>
  <c r="B37" i="8"/>
  <c r="B38" i="8"/>
  <c r="B39" i="8"/>
  <c r="B40" i="8"/>
  <c r="B41" i="8"/>
  <c r="B42" i="8"/>
  <c r="B43" i="8"/>
  <c r="B44" i="8"/>
  <c r="B4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15" i="8"/>
  <c r="B7" i="8"/>
  <c r="B8" i="8"/>
  <c r="B9" i="8"/>
  <c r="B10" i="8"/>
  <c r="B11" i="8"/>
  <c r="B12" i="8"/>
  <c r="AJ4" i="8"/>
  <c r="AR3" i="8" l="1"/>
  <c r="AW3" i="8" s="1"/>
  <c r="BF3" i="8" s="1"/>
  <c r="G7" i="6"/>
  <c r="C50" i="10" s="1"/>
  <c r="G5" i="6"/>
  <c r="C61" i="10" s="1"/>
  <c r="G6" i="6"/>
  <c r="C7" i="10" s="1"/>
  <c r="G8" i="6"/>
  <c r="C4" i="10" s="1"/>
  <c r="G9" i="6"/>
  <c r="C53" i="10" s="1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4" i="6"/>
  <c r="C62" i="10" s="1"/>
  <c r="G54" i="6" l="1"/>
  <c r="C3" i="8"/>
  <c r="H61" i="7"/>
  <c r="B72" i="8" s="1"/>
  <c r="H55" i="7"/>
  <c r="H49" i="7"/>
  <c r="H26" i="7"/>
  <c r="H10" i="7"/>
  <c r="H4" i="7"/>
  <c r="G58" i="6" l="1"/>
  <c r="G57" i="6"/>
  <c r="G56" i="6"/>
  <c r="G55" i="6"/>
  <c r="G59" i="6"/>
  <c r="K3" i="8"/>
  <c r="P3" i="8" s="1"/>
  <c r="Y3" i="8" s="1"/>
  <c r="AG3" i="8" s="1"/>
  <c r="B64" i="8"/>
  <c r="B56" i="8"/>
  <c r="B31" i="8"/>
  <c r="B13" i="8"/>
  <c r="B5" i="8"/>
  <c r="AH3" i="8" l="1"/>
  <c r="AI3" i="8" s="1"/>
  <c r="C4" i="8"/>
  <c r="BG3" i="8"/>
  <c r="BH3" i="8" s="1"/>
  <c r="BI3" i="8" s="1"/>
  <c r="BJ3" i="8" s="1"/>
  <c r="BJ4" i="8" s="1"/>
  <c r="B33" i="8"/>
  <c r="B58" i="8"/>
  <c r="B59" i="8"/>
  <c r="B60" i="8"/>
  <c r="B61" i="8"/>
  <c r="B62" i="8"/>
  <c r="B63" i="8"/>
  <c r="B66" i="8"/>
  <c r="B67" i="8"/>
  <c r="B68" i="8"/>
  <c r="B69" i="8"/>
  <c r="B70" i="8"/>
  <c r="B71" i="8"/>
  <c r="BR3" i="8" l="1"/>
  <c r="BW3" i="8" s="1"/>
  <c r="CF3" i="8" s="1"/>
  <c r="CN3" i="8" s="1"/>
  <c r="CO3" i="8" s="1"/>
  <c r="CP3" i="8" s="1"/>
  <c r="CQ3" i="8" s="1"/>
  <c r="CR3" i="8" l="1"/>
  <c r="CW3" i="8" s="1"/>
  <c r="DF3" i="8" s="1"/>
  <c r="DN3" i="8" s="1"/>
  <c r="DO3" i="8" s="1"/>
  <c r="DP3" i="8" s="1"/>
  <c r="DQ3" i="8" s="1"/>
  <c r="CQ4" i="8"/>
  <c r="DY3" i="8" l="1"/>
  <c r="ED3" i="8" s="1"/>
  <c r="DQ4" i="8"/>
</calcChain>
</file>

<file path=xl/sharedStrings.xml><?xml version="1.0" encoding="utf-8"?>
<sst xmlns="http://schemas.openxmlformats.org/spreadsheetml/2006/main" count="128" uniqueCount="118">
  <si>
    <t>Date</t>
  </si>
  <si>
    <t>Remarques</t>
  </si>
  <si>
    <t>Nom</t>
  </si>
  <si>
    <t>Prénom</t>
  </si>
  <si>
    <t>Projet</t>
  </si>
  <si>
    <t>Activités</t>
  </si>
  <si>
    <t>Costa</t>
  </si>
  <si>
    <t>Paola</t>
  </si>
  <si>
    <t xml:space="preserve">semaine n° </t>
  </si>
  <si>
    <t>Semaine</t>
  </si>
  <si>
    <t>Journal de travail</t>
  </si>
  <si>
    <t>Partie</t>
  </si>
  <si>
    <t>505 -</t>
  </si>
  <si>
    <t>506 -</t>
  </si>
  <si>
    <t>605 -</t>
  </si>
  <si>
    <t>606 -</t>
  </si>
  <si>
    <t>Parties</t>
  </si>
  <si>
    <t>Analyse</t>
  </si>
  <si>
    <t>Conception</t>
  </si>
  <si>
    <t>Implémentation</t>
  </si>
  <si>
    <t>Documentation</t>
  </si>
  <si>
    <t xml:space="preserve">318 - </t>
  </si>
  <si>
    <t xml:space="preserve">319 - </t>
  </si>
  <si>
    <t xml:space="preserve">320 - </t>
  </si>
  <si>
    <t xml:space="preserve">321 - </t>
  </si>
  <si>
    <t xml:space="preserve">322 - </t>
  </si>
  <si>
    <t>Location Matériel</t>
  </si>
  <si>
    <t>215 -</t>
  </si>
  <si>
    <t>216 -</t>
  </si>
  <si>
    <t>Date :</t>
  </si>
  <si>
    <t>Heure de début</t>
  </si>
  <si>
    <t>Heure de fin</t>
  </si>
  <si>
    <t>Temps</t>
  </si>
  <si>
    <t>C.Egger</t>
  </si>
  <si>
    <t>Expert 1</t>
  </si>
  <si>
    <t>Chef de projet</t>
  </si>
  <si>
    <t>Expert 2</t>
  </si>
  <si>
    <t>Personne 1</t>
  </si>
  <si>
    <t>Personne 2</t>
  </si>
  <si>
    <t>Supervision du projet :</t>
  </si>
  <si>
    <t>Réunion</t>
  </si>
  <si>
    <t>Tâche</t>
  </si>
  <si>
    <t>État</t>
  </si>
  <si>
    <t>Date de fin</t>
  </si>
  <si>
    <t>Date de début</t>
  </si>
  <si>
    <t>16h05</t>
  </si>
  <si>
    <t>Avancée des différentes tâches du projet</t>
  </si>
  <si>
    <t>Test</t>
  </si>
  <si>
    <t xml:space="preserve">heures effectuées totales : </t>
  </si>
  <si>
    <t>heures effectuées semaine 18</t>
  </si>
  <si>
    <t>heures effectuées semaine 19</t>
  </si>
  <si>
    <t>heures effectuées semaine 20</t>
  </si>
  <si>
    <t>heures effectuées semaine 21</t>
  </si>
  <si>
    <t>heures effectuées semaine 22</t>
  </si>
  <si>
    <t>402 journal de travail</t>
  </si>
  <si>
    <t>403 procédure d'installation</t>
  </si>
  <si>
    <t>404 procédure de test</t>
  </si>
  <si>
    <t>101 planification initiale</t>
  </si>
  <si>
    <t>201 choix de l'architecture</t>
  </si>
  <si>
    <t>203 modélisation logique de la BDD</t>
  </si>
  <si>
    <t>202 modélisation conceptuelle de la BDD</t>
  </si>
  <si>
    <t>204 maquettes de l'application</t>
  </si>
  <si>
    <t>205 diagrammes de flux</t>
  </si>
  <si>
    <t>206 cas d'utilisation de l'application</t>
  </si>
  <si>
    <t>207 scénarios de l'application</t>
  </si>
  <si>
    <t>208 diagrammes de classe</t>
  </si>
  <si>
    <t>209 schéma de navigation de l'application</t>
  </si>
  <si>
    <t>601 réunion avec monsieur C.Egger, CdP</t>
  </si>
  <si>
    <t>602 réunion avec monsieur G.Gruaz, expert 1</t>
  </si>
  <si>
    <t>603 réunion avec monsieur A.Roy, expert 2</t>
  </si>
  <si>
    <t>604 réunion avec une personne extérieure</t>
  </si>
  <si>
    <t>501 réalisation des tests unitaires</t>
  </si>
  <si>
    <t>502 réalisation des tests d'intégration</t>
  </si>
  <si>
    <t>503 réalisation des tests fonctionnels</t>
  </si>
  <si>
    <t>504 mise en forme des résultats des tests</t>
  </si>
  <si>
    <t>210 fonctionnalités du projet</t>
  </si>
  <si>
    <t>1 période : 45 minutes</t>
  </si>
  <si>
    <t>tâche continue tout au long du projet</t>
  </si>
  <si>
    <t>300 mise en place de la BDD</t>
  </si>
  <si>
    <t>301 réaliser la partie graphique de l'application</t>
  </si>
  <si>
    <t>405 mise en place du GitHub</t>
  </si>
  <si>
    <t>106 -</t>
  </si>
  <si>
    <t>211 déclaration du cadre du projet</t>
  </si>
  <si>
    <t>102 objectifs du projet</t>
  </si>
  <si>
    <t>302 mettre en place la connexion à la BDD</t>
  </si>
  <si>
    <t>303 mettre en place la classe "bouteille"</t>
  </si>
  <si>
    <t>304 mettre en place la classe "casier"</t>
  </si>
  <si>
    <t>305 implémenter l'ajout de bouteilles</t>
  </si>
  <si>
    <t>306 implémenter le retrait de bouteilles</t>
  </si>
  <si>
    <t>307 implémenter l'historisation des actions effectuées</t>
  </si>
  <si>
    <t>308 implémenter la recherche par mot-clé</t>
  </si>
  <si>
    <t>309 implémenter la recherche par couleur de robe</t>
  </si>
  <si>
    <t>310 implémenter la recherche par cépage</t>
  </si>
  <si>
    <t>311 implémenter la recherche par vigneron</t>
  </si>
  <si>
    <t>312 implémenter la recherche par pays</t>
  </si>
  <si>
    <t>313 implémenter l'export d'une liste triée par PDF</t>
  </si>
  <si>
    <t>314 implémenter l'ajout de casiers</t>
  </si>
  <si>
    <t>315 implémenter le retrait de casiers</t>
  </si>
  <si>
    <t>316 implémenter une alerte sur éléments spécifiques</t>
  </si>
  <si>
    <t>317 implémenter l'impression d'une liste triée</t>
  </si>
  <si>
    <t>G.Gruaz</t>
  </si>
  <si>
    <t>A.Roy</t>
  </si>
  <si>
    <t>104 découpage du projet en tâches distinctes</t>
  </si>
  <si>
    <t>103 introduction du projet</t>
  </si>
  <si>
    <t>105 -</t>
  </si>
  <si>
    <t>213 planification définitive</t>
  </si>
  <si>
    <t>401 mise en forme du rapport de projet</t>
  </si>
  <si>
    <t>En cours</t>
  </si>
  <si>
    <t>406 envoi de l'avancée au CdP et aux experts</t>
  </si>
  <si>
    <t>réunion avec monsieur G.Gruaz. La discussion a porté sur le cadre du TPI. Réponses aux différentes questions propres à celui-ci + réponses aux incertitudes concernant le projet</t>
  </si>
  <si>
    <t>réunion avec monsieur Egger en plus de monsieur Gruaz. La discussion a porté sur la pertinence d'un des éléments du CdC (création des rôles), qui a été supprimé. Le CdC a ensuite été signé par les personnes présentes</t>
  </si>
  <si>
    <t>Terminé</t>
  </si>
  <si>
    <t>dans le document excel comprenant le journal de travail, et selon le CdC, le projet a été découpé en différentes tâches (visibles dans l'onglet avancée)</t>
  </si>
  <si>
    <t>rédaction des tâches déjà effectuées</t>
  </si>
  <si>
    <t>mise en place de la planification initiale</t>
  </si>
  <si>
    <t>212 rédaction des risques techniques détectés</t>
  </si>
  <si>
    <t>214 recherche sur l'impression depuis l'application</t>
  </si>
  <si>
    <t>création du repository GitHub (https://github.com/AhVen98/TPI_gestionCaveAVin), avec la création des dossiers pour les différents rendus -&gt; à chaque rendu, un fichier .pdf du rapport et du JT vont être créés et conservés.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</si>
</sst>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&quot; h &quot;mm"/>
    <numFmt numFmtId="165" formatCode="[h]:mm"/>
    <numFmt numFmtId="166" formatCode="[$-F800]dddd\,\ mmmm\ dd\,\ yyyy"/>
    <numFmt numFmtId="167" formatCode="[$-F400]h:mm:ss\ AM/PM"/>
    <numFmt numFmtId="168" formatCode="hh/mm&quot; h&quot;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entury Gothic"/>
      <family val="2"/>
    </font>
    <font>
      <b/>
      <sz val="12"/>
      <color theme="1"/>
      <name val="Century Gothic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1DC7E"/>
        <bgColor indexed="64"/>
      </patternFill>
    </fill>
    <fill>
      <patternFill patternType="solid">
        <fgColor rgb="FFFFFF99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/>
      <diagonal/>
    </border>
  </borders>
  <cellStyleXfs count="1">
    <xf numFmtId="0" fontId="0" fillId="0" borderId="0"/>
  </cellStyleXfs>
  <cellXfs count="255">
    <xf numFmtId="0" fontId="0" fillId="0" borderId="0" xfId="0"/>
    <xf numFmtId="164" fontId="3" fillId="2" borderId="1" xfId="0" applyNumberFormat="1" applyFont="1" applyFill="1" applyBorder="1" applyAlignment="1" applyProtection="1">
      <alignment vertical="center" wrapText="1"/>
    </xf>
    <xf numFmtId="0" fontId="0" fillId="2" borderId="4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12" xfId="0" applyFill="1" applyBorder="1" applyProtection="1">
      <protection locked="0"/>
    </xf>
    <xf numFmtId="14" fontId="0" fillId="2" borderId="15" xfId="0" applyNumberFormat="1" applyFill="1" applyBorder="1" applyProtection="1">
      <protection locked="0"/>
    </xf>
    <xf numFmtId="0" fontId="0" fillId="2" borderId="16" xfId="0" applyFill="1" applyBorder="1" applyProtection="1">
      <protection locked="0"/>
    </xf>
    <xf numFmtId="0" fontId="0" fillId="2" borderId="17" xfId="0" applyFill="1" applyBorder="1" applyProtection="1">
      <protection locked="0"/>
    </xf>
    <xf numFmtId="0" fontId="0" fillId="3" borderId="0" xfId="0" applyFill="1" applyProtection="1"/>
    <xf numFmtId="0" fontId="0" fillId="0" borderId="0" xfId="0" applyProtection="1"/>
    <xf numFmtId="0" fontId="4" fillId="3" borderId="0" xfId="0" applyFont="1" applyFill="1" applyProtection="1"/>
    <xf numFmtId="0" fontId="5" fillId="3" borderId="0" xfId="0" applyFont="1" applyFill="1" applyProtection="1"/>
    <xf numFmtId="0" fontId="5" fillId="0" borderId="0" xfId="0" applyFont="1" applyProtection="1"/>
    <xf numFmtId="0" fontId="0" fillId="0" borderId="0" xfId="0" applyAlignment="1">
      <alignment vertical="center"/>
    </xf>
    <xf numFmtId="164" fontId="3" fillId="2" borderId="8" xfId="0" applyNumberFormat="1" applyFont="1" applyFill="1" applyBorder="1" applyAlignment="1" applyProtection="1">
      <alignment vertical="center" wrapText="1"/>
    </xf>
    <xf numFmtId="0" fontId="5" fillId="0" borderId="0" xfId="0" applyFont="1" applyAlignment="1">
      <alignment vertical="center"/>
    </xf>
    <xf numFmtId="0" fontId="0" fillId="0" borderId="0" xfId="0" applyBorder="1" applyAlignment="1">
      <alignment vertical="center"/>
    </xf>
    <xf numFmtId="0" fontId="5" fillId="0" borderId="0" xfId="0" applyNumberFormat="1" applyFont="1" applyBorder="1" applyAlignment="1">
      <alignment vertical="center"/>
    </xf>
    <xf numFmtId="0" fontId="0" fillId="0" borderId="0" xfId="0" applyAlignment="1">
      <alignment wrapText="1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12" xfId="0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top" wrapText="1"/>
    </xf>
    <xf numFmtId="14" fontId="1" fillId="0" borderId="0" xfId="0" applyNumberFormat="1" applyFont="1" applyAlignment="1">
      <alignment horizontal="left" vertical="top" wrapText="1"/>
    </xf>
    <xf numFmtId="164" fontId="2" fillId="6" borderId="6" xfId="0" applyNumberFormat="1" applyFont="1" applyFill="1" applyBorder="1" applyAlignment="1" applyProtection="1">
      <alignment horizontal="center" vertical="top"/>
    </xf>
    <xf numFmtId="164" fontId="2" fillId="6" borderId="8" xfId="0" applyNumberFormat="1" applyFont="1" applyFill="1" applyBorder="1" applyAlignment="1" applyProtection="1">
      <alignment horizontal="center" vertical="top"/>
    </xf>
    <xf numFmtId="164" fontId="2" fillId="4" borderId="6" xfId="0" applyNumberFormat="1" applyFont="1" applyFill="1" applyBorder="1" applyAlignment="1" applyProtection="1">
      <alignment horizontal="center" vertical="top"/>
    </xf>
    <xf numFmtId="164" fontId="2" fillId="4" borderId="8" xfId="0" applyNumberFormat="1" applyFont="1" applyFill="1" applyBorder="1" applyAlignment="1" applyProtection="1">
      <alignment horizontal="center" vertical="top"/>
    </xf>
    <xf numFmtId="164" fontId="2" fillId="5" borderId="6" xfId="0" applyNumberFormat="1" applyFont="1" applyFill="1" applyBorder="1" applyAlignment="1" applyProtection="1">
      <alignment horizontal="center" vertical="top"/>
    </xf>
    <xf numFmtId="164" fontId="2" fillId="5" borderId="8" xfId="0" applyNumberFormat="1" applyFont="1" applyFill="1" applyBorder="1" applyAlignment="1" applyProtection="1">
      <alignment horizontal="center" vertical="top"/>
    </xf>
    <xf numFmtId="164" fontId="2" fillId="8" borderId="6" xfId="0" applyNumberFormat="1" applyFont="1" applyFill="1" applyBorder="1" applyAlignment="1" applyProtection="1">
      <alignment horizontal="center" vertical="top"/>
    </xf>
    <xf numFmtId="164" fontId="2" fillId="8" borderId="8" xfId="0" applyNumberFormat="1" applyFont="1" applyFill="1" applyBorder="1" applyAlignment="1" applyProtection="1">
      <alignment horizontal="center" vertical="top"/>
    </xf>
    <xf numFmtId="164" fontId="2" fillId="7" borderId="6" xfId="0" applyNumberFormat="1" applyFont="1" applyFill="1" applyBorder="1" applyAlignment="1" applyProtection="1">
      <alignment horizontal="center" vertical="top"/>
    </xf>
    <xf numFmtId="164" fontId="2" fillId="7" borderId="8" xfId="0" applyNumberFormat="1" applyFont="1" applyFill="1" applyBorder="1" applyAlignment="1" applyProtection="1">
      <alignment horizontal="center" vertical="top"/>
    </xf>
    <xf numFmtId="0" fontId="0" fillId="0" borderId="0" xfId="0" applyAlignment="1">
      <alignment horizontal="center"/>
    </xf>
    <xf numFmtId="14" fontId="0" fillId="0" borderId="26" xfId="0" applyNumberFormat="1" applyBorder="1" applyAlignment="1">
      <alignment horizontal="center" vertical="center" textRotation="90"/>
    </xf>
    <xf numFmtId="14" fontId="0" fillId="0" borderId="27" xfId="0" applyNumberFormat="1" applyBorder="1" applyAlignment="1">
      <alignment horizontal="center" vertical="center" textRotation="90"/>
    </xf>
    <xf numFmtId="164" fontId="2" fillId="4" borderId="7" xfId="0" applyNumberFormat="1" applyFont="1" applyFill="1" applyBorder="1" applyAlignment="1" applyProtection="1">
      <alignment horizontal="center" vertical="top"/>
    </xf>
    <xf numFmtId="164" fontId="2" fillId="4" borderId="18" xfId="0" applyNumberFormat="1" applyFont="1" applyFill="1" applyBorder="1" applyAlignment="1" applyProtection="1">
      <alignment horizontal="center" vertical="top"/>
    </xf>
    <xf numFmtId="164" fontId="2" fillId="4" borderId="5" xfId="0" applyNumberFormat="1" applyFont="1" applyFill="1" applyBorder="1" applyAlignment="1" applyProtection="1">
      <alignment horizontal="center" vertical="top"/>
    </xf>
    <xf numFmtId="164" fontId="2" fillId="4" borderId="19" xfId="0" applyNumberFormat="1" applyFont="1" applyFill="1" applyBorder="1" applyAlignment="1" applyProtection="1">
      <alignment horizontal="center" vertical="top"/>
    </xf>
    <xf numFmtId="0" fontId="0" fillId="0" borderId="21" xfId="0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164" fontId="2" fillId="6" borderId="7" xfId="0" applyNumberFormat="1" applyFont="1" applyFill="1" applyBorder="1" applyAlignment="1" applyProtection="1">
      <alignment horizontal="center" vertical="top"/>
    </xf>
    <xf numFmtId="164" fontId="2" fillId="6" borderId="5" xfId="0" applyNumberFormat="1" applyFont="1" applyFill="1" applyBorder="1" applyAlignment="1" applyProtection="1">
      <alignment horizontal="center" vertical="top"/>
    </xf>
    <xf numFmtId="0" fontId="0" fillId="0" borderId="23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164" fontId="2" fillId="5" borderId="7" xfId="0" applyNumberFormat="1" applyFont="1" applyFill="1" applyBorder="1" applyAlignment="1" applyProtection="1">
      <alignment horizontal="center" vertical="top"/>
    </xf>
    <xf numFmtId="164" fontId="2" fillId="5" borderId="18" xfId="0" applyNumberFormat="1" applyFont="1" applyFill="1" applyBorder="1" applyAlignment="1" applyProtection="1">
      <alignment horizontal="center" vertical="top"/>
    </xf>
    <xf numFmtId="164" fontId="2" fillId="5" borderId="5" xfId="0" applyNumberFormat="1" applyFont="1" applyFill="1" applyBorder="1" applyAlignment="1" applyProtection="1">
      <alignment horizontal="center" vertical="top"/>
    </xf>
    <xf numFmtId="164" fontId="2" fillId="5" borderId="19" xfId="0" applyNumberFormat="1" applyFont="1" applyFill="1" applyBorder="1" applyAlignment="1" applyProtection="1">
      <alignment horizontal="center" vertical="top"/>
    </xf>
    <xf numFmtId="164" fontId="2" fillId="8" borderId="7" xfId="0" applyNumberFormat="1" applyFont="1" applyFill="1" applyBorder="1" applyAlignment="1" applyProtection="1">
      <alignment horizontal="center" vertical="top"/>
    </xf>
    <xf numFmtId="164" fontId="2" fillId="8" borderId="18" xfId="0" applyNumberFormat="1" applyFont="1" applyFill="1" applyBorder="1" applyAlignment="1" applyProtection="1">
      <alignment horizontal="center" vertical="top"/>
    </xf>
    <xf numFmtId="164" fontId="2" fillId="8" borderId="5" xfId="0" applyNumberFormat="1" applyFont="1" applyFill="1" applyBorder="1" applyAlignment="1" applyProtection="1">
      <alignment horizontal="center" vertical="top"/>
    </xf>
    <xf numFmtId="164" fontId="2" fillId="8" borderId="19" xfId="0" applyNumberFormat="1" applyFont="1" applyFill="1" applyBorder="1" applyAlignment="1" applyProtection="1">
      <alignment horizontal="center" vertical="top"/>
    </xf>
    <xf numFmtId="164" fontId="2" fillId="7" borderId="7" xfId="0" applyNumberFormat="1" applyFont="1" applyFill="1" applyBorder="1" applyAlignment="1" applyProtection="1">
      <alignment horizontal="center" vertical="top"/>
    </xf>
    <xf numFmtId="164" fontId="2" fillId="7" borderId="18" xfId="0" applyNumberFormat="1" applyFont="1" applyFill="1" applyBorder="1" applyAlignment="1" applyProtection="1">
      <alignment horizontal="center" vertical="top"/>
    </xf>
    <xf numFmtId="164" fontId="2" fillId="7" borderId="5" xfId="0" applyNumberFormat="1" applyFont="1" applyFill="1" applyBorder="1" applyAlignment="1" applyProtection="1">
      <alignment horizontal="center" vertical="top"/>
    </xf>
    <xf numFmtId="164" fontId="2" fillId="7" borderId="19" xfId="0" applyNumberFormat="1" applyFont="1" applyFill="1" applyBorder="1" applyAlignment="1" applyProtection="1">
      <alignment horizontal="center" vertical="top"/>
    </xf>
    <xf numFmtId="0" fontId="0" fillId="0" borderId="25" xfId="0" applyFill="1" applyBorder="1" applyAlignment="1">
      <alignment horizontal="center"/>
    </xf>
    <xf numFmtId="0" fontId="0" fillId="0" borderId="30" xfId="0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1" xfId="0" applyFill="1" applyBorder="1" applyAlignment="1">
      <alignment horizontal="center"/>
    </xf>
    <xf numFmtId="0" fontId="7" fillId="9" borderId="23" xfId="0" applyFont="1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7" fillId="9" borderId="21" xfId="0" applyFont="1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7" fillId="9" borderId="31" xfId="0" applyFont="1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7" fillId="9" borderId="25" xfId="0" applyFont="1" applyFill="1" applyBorder="1" applyAlignment="1">
      <alignment horizontal="center"/>
    </xf>
    <xf numFmtId="0" fontId="8" fillId="9" borderId="23" xfId="0" applyFont="1" applyFill="1" applyBorder="1" applyAlignment="1">
      <alignment horizontal="center" vertical="center" textRotation="255"/>
    </xf>
    <xf numFmtId="0" fontId="8" fillId="9" borderId="21" xfId="0" applyFont="1" applyFill="1" applyBorder="1" applyAlignment="1">
      <alignment horizontal="center" vertical="center" textRotation="255"/>
    </xf>
    <xf numFmtId="0" fontId="8" fillId="9" borderId="31" xfId="0" applyFont="1" applyFill="1" applyBorder="1" applyAlignment="1">
      <alignment horizontal="center" vertical="center" textRotation="255"/>
    </xf>
    <xf numFmtId="0" fontId="8" fillId="9" borderId="25" xfId="0" applyFont="1" applyFill="1" applyBorder="1" applyAlignment="1">
      <alignment horizontal="center" vertical="center" textRotation="255"/>
    </xf>
    <xf numFmtId="164" fontId="2" fillId="11" borderId="7" xfId="0" applyNumberFormat="1" applyFont="1" applyFill="1" applyBorder="1" applyAlignment="1" applyProtection="1">
      <alignment horizontal="center" vertical="top"/>
    </xf>
    <xf numFmtId="164" fontId="2" fillId="11" borderId="5" xfId="0" applyNumberFormat="1" applyFont="1" applyFill="1" applyBorder="1" applyAlignment="1" applyProtection="1">
      <alignment horizontal="center" vertical="top"/>
    </xf>
    <xf numFmtId="0" fontId="7" fillId="9" borderId="44" xfId="0" applyFont="1" applyFill="1" applyBorder="1" applyAlignment="1">
      <alignment horizontal="center"/>
    </xf>
    <xf numFmtId="0" fontId="7" fillId="9" borderId="45" xfId="0" applyFont="1" applyFill="1" applyBorder="1" applyAlignment="1">
      <alignment horizontal="center"/>
    </xf>
    <xf numFmtId="0" fontId="7" fillId="9" borderId="46" xfId="0" applyFont="1" applyFill="1" applyBorder="1" applyAlignment="1">
      <alignment horizontal="center"/>
    </xf>
    <xf numFmtId="0" fontId="7" fillId="9" borderId="47" xfId="0" applyFont="1" applyFill="1" applyBorder="1" applyAlignment="1">
      <alignment horizontal="center"/>
    </xf>
    <xf numFmtId="0" fontId="8" fillId="9" borderId="46" xfId="0" applyFont="1" applyFill="1" applyBorder="1" applyAlignment="1">
      <alignment horizontal="center" vertical="center" textRotation="255"/>
    </xf>
    <xf numFmtId="0" fontId="8" fillId="9" borderId="44" xfId="0" applyFont="1" applyFill="1" applyBorder="1" applyAlignment="1">
      <alignment horizontal="center" vertical="center" textRotation="255"/>
    </xf>
    <xf numFmtId="0" fontId="8" fillId="9" borderId="45" xfId="0" applyFont="1" applyFill="1" applyBorder="1" applyAlignment="1">
      <alignment horizontal="center" vertical="center" textRotation="255"/>
    </xf>
    <xf numFmtId="0" fontId="8" fillId="9" borderId="47" xfId="0" applyFont="1" applyFill="1" applyBorder="1" applyAlignment="1">
      <alignment horizontal="center" vertical="center" textRotation="255"/>
    </xf>
    <xf numFmtId="14" fontId="0" fillId="0" borderId="49" xfId="0" applyNumberFormat="1" applyBorder="1" applyAlignment="1">
      <alignment horizontal="center" vertical="center" textRotation="90"/>
    </xf>
    <xf numFmtId="0" fontId="8" fillId="9" borderId="28" xfId="0" applyFont="1" applyFill="1" applyBorder="1" applyAlignment="1">
      <alignment horizontal="center" vertical="center" textRotation="255"/>
    </xf>
    <xf numFmtId="0" fontId="8" fillId="9" borderId="29" xfId="0" applyFont="1" applyFill="1" applyBorder="1" applyAlignment="1">
      <alignment horizontal="center" vertical="center" textRotation="255"/>
    </xf>
    <xf numFmtId="0" fontId="8" fillId="9" borderId="32" xfId="0" applyFont="1" applyFill="1" applyBorder="1" applyAlignment="1">
      <alignment horizontal="center" vertical="center" textRotation="255"/>
    </xf>
    <xf numFmtId="0" fontId="8" fillId="9" borderId="30" xfId="0" applyFont="1" applyFill="1" applyBorder="1" applyAlignment="1">
      <alignment horizontal="center" vertical="center" textRotation="255"/>
    </xf>
    <xf numFmtId="164" fontId="3" fillId="2" borderId="10" xfId="0" applyNumberFormat="1" applyFont="1" applyFill="1" applyBorder="1" applyAlignment="1" applyProtection="1">
      <alignment vertical="center" wrapText="1"/>
    </xf>
    <xf numFmtId="0" fontId="0" fillId="3" borderId="24" xfId="0" applyFill="1" applyBorder="1" applyProtection="1"/>
    <xf numFmtId="0" fontId="0" fillId="3" borderId="50" xfId="0" applyFill="1" applyBorder="1" applyProtection="1"/>
    <xf numFmtId="0" fontId="0" fillId="3" borderId="24" xfId="0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0" fillId="3" borderId="0" xfId="0" applyNumberFormat="1" applyFill="1" applyBorder="1" applyProtection="1">
      <protection locked="0"/>
    </xf>
    <xf numFmtId="0" fontId="0" fillId="3" borderId="0" xfId="0" applyNumberFormat="1" applyFill="1" applyProtection="1"/>
    <xf numFmtId="0" fontId="0" fillId="3" borderId="0" xfId="0" applyNumberFormat="1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2" borderId="22" xfId="0" applyFill="1" applyBorder="1" applyAlignment="1" applyProtection="1">
      <alignment horizontal="left"/>
      <protection locked="0"/>
    </xf>
    <xf numFmtId="0" fontId="0" fillId="2" borderId="22" xfId="0" applyFill="1" applyBorder="1" applyProtection="1">
      <protection locked="0"/>
    </xf>
    <xf numFmtId="0" fontId="0" fillId="2" borderId="43" xfId="0" applyFill="1" applyBorder="1" applyProtection="1">
      <protection locked="0"/>
    </xf>
    <xf numFmtId="0" fontId="0" fillId="2" borderId="51" xfId="0" applyFill="1" applyBorder="1" applyProtection="1">
      <protection locked="0"/>
    </xf>
    <xf numFmtId="0" fontId="0" fillId="3" borderId="0" xfId="0" applyFill="1" applyBorder="1" applyAlignment="1" applyProtection="1">
      <alignment horizontal="center"/>
      <protection locked="0"/>
    </xf>
    <xf numFmtId="0" fontId="0" fillId="3" borderId="20" xfId="0" applyFill="1" applyBorder="1" applyProtection="1"/>
    <xf numFmtId="0" fontId="0" fillId="3" borderId="22" xfId="0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</xf>
    <xf numFmtId="0" fontId="0" fillId="3" borderId="51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left"/>
      <protection locked="0"/>
    </xf>
    <xf numFmtId="0" fontId="0" fillId="3" borderId="22" xfId="0" applyFill="1" applyBorder="1" applyProtection="1"/>
    <xf numFmtId="0" fontId="0" fillId="3" borderId="24" xfId="0" applyFill="1" applyBorder="1" applyAlignment="1" applyProtection="1">
      <alignment horizontal="left"/>
      <protection locked="0"/>
    </xf>
    <xf numFmtId="0" fontId="0" fillId="3" borderId="22" xfId="0" applyFill="1" applyBorder="1" applyAlignment="1" applyProtection="1">
      <alignment horizontal="left"/>
      <protection locked="0"/>
    </xf>
    <xf numFmtId="0" fontId="0" fillId="3" borderId="22" xfId="0" applyFill="1" applyBorder="1" applyProtection="1">
      <protection locked="0"/>
    </xf>
    <xf numFmtId="0" fontId="0" fillId="3" borderId="50" xfId="0" applyFill="1" applyBorder="1" applyProtection="1">
      <protection locked="0"/>
    </xf>
    <xf numFmtId="0" fontId="0" fillId="3" borderId="51" xfId="0" applyFill="1" applyBorder="1" applyProtection="1">
      <protection locked="0"/>
    </xf>
    <xf numFmtId="0" fontId="4" fillId="3" borderId="0" xfId="0" applyFont="1" applyFill="1" applyBorder="1" applyProtection="1"/>
    <xf numFmtId="0" fontId="9" fillId="3" borderId="0" xfId="0" applyFont="1" applyFill="1" applyBorder="1" applyAlignment="1" applyProtection="1">
      <protection locked="0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left" vertical="top"/>
    </xf>
    <xf numFmtId="0" fontId="0" fillId="0" borderId="0" xfId="0" applyAlignment="1"/>
    <xf numFmtId="166" fontId="0" fillId="0" borderId="0" xfId="0" applyNumberFormat="1" applyAlignment="1">
      <alignment vertical="center" wrapText="1"/>
    </xf>
    <xf numFmtId="0" fontId="1" fillId="0" borderId="3" xfId="0" applyNumberFormat="1" applyFont="1" applyBorder="1" applyAlignment="1">
      <alignment horizontal="center" vertical="center"/>
    </xf>
    <xf numFmtId="0" fontId="0" fillId="3" borderId="0" xfId="0" applyNumberFormat="1" applyFill="1" applyAlignment="1" applyProtection="1">
      <alignment horizontal="left"/>
    </xf>
    <xf numFmtId="0" fontId="1" fillId="0" borderId="3" xfId="0" applyFont="1" applyBorder="1" applyAlignment="1" applyProtection="1">
      <alignment horizontal="center" vertical="center"/>
    </xf>
    <xf numFmtId="165" fontId="0" fillId="0" borderId="12" xfId="0" applyNumberFormat="1" applyBorder="1" applyAlignment="1" applyProtection="1">
      <alignment horizontal="center" vertical="center" wrapText="1"/>
    </xf>
    <xf numFmtId="0" fontId="0" fillId="0" borderId="11" xfId="0" applyBorder="1" applyAlignment="1" applyProtection="1">
      <alignment horizontal="left" vertical="top" wrapText="1"/>
      <protection locked="0"/>
    </xf>
    <xf numFmtId="0" fontId="1" fillId="0" borderId="13" xfId="0" applyFont="1" applyBorder="1" applyAlignment="1">
      <alignment horizontal="left" vertical="top"/>
    </xf>
    <xf numFmtId="0" fontId="0" fillId="0" borderId="12" xfId="0" applyNumberFormat="1" applyBorder="1" applyAlignment="1" applyProtection="1">
      <alignment horizontal="center" vertical="center" wrapText="1"/>
    </xf>
    <xf numFmtId="0" fontId="1" fillId="3" borderId="0" xfId="0" applyFont="1" applyFill="1" applyProtection="1"/>
    <xf numFmtId="164" fontId="2" fillId="6" borderId="18" xfId="0" applyNumberFormat="1" applyFont="1" applyFill="1" applyBorder="1" applyAlignment="1" applyProtection="1">
      <alignment horizontal="center" vertical="top"/>
    </xf>
    <xf numFmtId="164" fontId="2" fillId="6" borderId="19" xfId="0" applyNumberFormat="1" applyFont="1" applyFill="1" applyBorder="1" applyAlignment="1" applyProtection="1">
      <alignment horizontal="center" vertical="top"/>
    </xf>
    <xf numFmtId="0" fontId="0" fillId="0" borderId="57" xfId="0" applyFill="1" applyBorder="1" applyAlignment="1">
      <alignment horizontal="center"/>
    </xf>
    <xf numFmtId="0" fontId="0" fillId="0" borderId="58" xfId="0" applyFill="1" applyBorder="1" applyAlignment="1">
      <alignment horizontal="center"/>
    </xf>
    <xf numFmtId="0" fontId="0" fillId="0" borderId="59" xfId="0" applyFill="1" applyBorder="1" applyAlignment="1">
      <alignment horizontal="center"/>
    </xf>
    <xf numFmtId="0" fontId="0" fillId="9" borderId="59" xfId="0" applyFill="1" applyBorder="1" applyAlignment="1">
      <alignment horizontal="center"/>
    </xf>
    <xf numFmtId="0" fontId="7" fillId="9" borderId="59" xfId="0" applyFont="1" applyFill="1" applyBorder="1" applyAlignment="1">
      <alignment horizontal="center"/>
    </xf>
    <xf numFmtId="0" fontId="7" fillId="9" borderId="60" xfId="0" applyFont="1" applyFill="1" applyBorder="1" applyAlignment="1">
      <alignment horizontal="center"/>
    </xf>
    <xf numFmtId="0" fontId="7" fillId="9" borderId="34" xfId="0" applyFont="1" applyFill="1" applyBorder="1" applyAlignment="1">
      <alignment horizontal="center"/>
    </xf>
    <xf numFmtId="0" fontId="7" fillId="9" borderId="37" xfId="0" applyFont="1" applyFill="1" applyBorder="1" applyAlignment="1">
      <alignment horizontal="center"/>
    </xf>
    <xf numFmtId="0" fontId="10" fillId="3" borderId="0" xfId="0" applyFont="1" applyFill="1" applyProtection="1"/>
    <xf numFmtId="0" fontId="0" fillId="3" borderId="0" xfId="0" applyFont="1" applyFill="1" applyProtection="1"/>
    <xf numFmtId="0" fontId="1" fillId="3" borderId="0" xfId="0" applyFont="1" applyFill="1" applyAlignment="1" applyProtection="1">
      <alignment horizontal="center"/>
    </xf>
    <xf numFmtId="0" fontId="0" fillId="3" borderId="0" xfId="0" applyFont="1" applyFill="1" applyAlignment="1" applyProtection="1">
      <alignment horizontal="center"/>
    </xf>
    <xf numFmtId="0" fontId="11" fillId="3" borderId="0" xfId="0" applyFont="1" applyFill="1" applyProtection="1"/>
    <xf numFmtId="0" fontId="1" fillId="3" borderId="0" xfId="0" applyFon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0" fontId="0" fillId="3" borderId="0" xfId="0" applyFont="1" applyFill="1" applyAlignment="1" applyProtection="1">
      <alignment horizontal="left"/>
    </xf>
    <xf numFmtId="0" fontId="7" fillId="9" borderId="36" xfId="0" applyFont="1" applyFill="1" applyBorder="1" applyAlignment="1">
      <alignment horizontal="center"/>
    </xf>
    <xf numFmtId="164" fontId="2" fillId="12" borderId="6" xfId="0" applyNumberFormat="1" applyFont="1" applyFill="1" applyBorder="1" applyAlignment="1" applyProtection="1">
      <alignment horizontal="center" vertical="top"/>
    </xf>
    <xf numFmtId="164" fontId="2" fillId="12" borderId="7" xfId="0" applyNumberFormat="1" applyFont="1" applyFill="1" applyBorder="1" applyAlignment="1" applyProtection="1">
      <alignment horizontal="center" vertical="top"/>
    </xf>
    <xf numFmtId="164" fontId="2" fillId="12" borderId="18" xfId="0" applyNumberFormat="1" applyFont="1" applyFill="1" applyBorder="1" applyAlignment="1" applyProtection="1">
      <alignment horizontal="center" vertical="top"/>
    </xf>
    <xf numFmtId="164" fontId="2" fillId="12" borderId="8" xfId="0" applyNumberFormat="1" applyFont="1" applyFill="1" applyBorder="1" applyAlignment="1" applyProtection="1">
      <alignment horizontal="center" vertical="top"/>
    </xf>
    <xf numFmtId="164" fontId="2" fillId="12" borderId="5" xfId="0" applyNumberFormat="1" applyFont="1" applyFill="1" applyBorder="1" applyAlignment="1" applyProtection="1">
      <alignment horizontal="center" vertical="top"/>
    </xf>
    <xf numFmtId="164" fontId="2" fillId="12" borderId="19" xfId="0" applyNumberFormat="1" applyFont="1" applyFill="1" applyBorder="1" applyAlignment="1" applyProtection="1">
      <alignment horizontal="center" vertical="top"/>
    </xf>
    <xf numFmtId="164" fontId="3" fillId="2" borderId="13" xfId="0" applyNumberFormat="1" applyFont="1" applyFill="1" applyBorder="1" applyAlignment="1" applyProtection="1">
      <alignment vertical="center" wrapText="1"/>
    </xf>
    <xf numFmtId="164" fontId="3" fillId="2" borderId="61" xfId="0" applyNumberFormat="1" applyFont="1" applyFill="1" applyBorder="1" applyAlignment="1" applyProtection="1">
      <alignment vertical="center" wrapText="1"/>
    </xf>
    <xf numFmtId="164" fontId="3" fillId="2" borderId="14" xfId="0" applyNumberFormat="1" applyFont="1" applyFill="1" applyBorder="1" applyAlignment="1" applyProtection="1">
      <alignment vertical="center" wrapText="1"/>
    </xf>
    <xf numFmtId="0" fontId="0" fillId="2" borderId="43" xfId="0" applyFill="1" applyBorder="1" applyAlignment="1" applyProtection="1">
      <alignment horizontal="center"/>
    </xf>
    <xf numFmtId="0" fontId="0" fillId="2" borderId="22" xfId="0" applyFill="1" applyBorder="1" applyAlignment="1" applyProtection="1">
      <alignment horizontal="center"/>
    </xf>
    <xf numFmtId="0" fontId="0" fillId="3" borderId="0" xfId="0" applyNumberFormat="1" applyFill="1" applyBorder="1" applyAlignment="1" applyProtection="1">
      <alignment horizontal="center"/>
    </xf>
    <xf numFmtId="20" fontId="0" fillId="2" borderId="15" xfId="0" applyNumberFormat="1" applyFill="1" applyBorder="1" applyProtection="1">
      <protection locked="0"/>
    </xf>
    <xf numFmtId="0" fontId="1" fillId="0" borderId="13" xfId="0" applyFont="1" applyBorder="1" applyAlignment="1" applyProtection="1">
      <alignment horizontal="left" vertical="top"/>
    </xf>
    <xf numFmtId="168" fontId="0" fillId="0" borderId="15" xfId="0" applyNumberFormat="1" applyBorder="1" applyAlignment="1" applyProtection="1">
      <alignment horizontal="left" vertical="top" wrapText="1"/>
    </xf>
    <xf numFmtId="168" fontId="0" fillId="0" borderId="62" xfId="0" applyNumberFormat="1" applyBorder="1" applyAlignment="1" applyProtection="1">
      <alignment horizontal="left" vertical="top" wrapText="1"/>
    </xf>
    <xf numFmtId="0" fontId="0" fillId="0" borderId="7" xfId="0" applyBorder="1" applyAlignment="1"/>
    <xf numFmtId="0" fontId="9" fillId="3" borderId="0" xfId="0" applyFont="1" applyFill="1" applyBorder="1" applyAlignment="1" applyProtection="1"/>
    <xf numFmtId="0" fontId="11" fillId="3" borderId="0" xfId="0" applyFont="1" applyFill="1" applyAlignment="1" applyProtection="1">
      <alignment horizontal="left"/>
    </xf>
    <xf numFmtId="14" fontId="0" fillId="0" borderId="48" xfId="0" applyNumberFormat="1" applyBorder="1" applyAlignment="1">
      <alignment horizontal="center" vertical="center" textRotation="90"/>
    </xf>
    <xf numFmtId="0" fontId="0" fillId="0" borderId="63" xfId="0" applyBorder="1" applyAlignment="1" applyProtection="1">
      <alignment horizontal="left" vertical="top" wrapText="1"/>
    </xf>
    <xf numFmtId="0" fontId="0" fillId="0" borderId="64" xfId="0" applyBorder="1" applyAlignment="1" applyProtection="1">
      <alignment horizontal="left" vertical="top" wrapText="1"/>
      <protection locked="0"/>
    </xf>
    <xf numFmtId="0" fontId="0" fillId="0" borderId="10" xfId="0" applyBorder="1" applyAlignment="1" applyProtection="1">
      <alignment horizontal="left" vertical="top" wrapText="1"/>
    </xf>
    <xf numFmtId="0" fontId="0" fillId="0" borderId="65" xfId="0" applyBorder="1" applyAlignment="1" applyProtection="1">
      <alignment horizontal="left" vertical="top" wrapText="1"/>
      <protection locked="0"/>
    </xf>
    <xf numFmtId="14" fontId="0" fillId="0" borderId="33" xfId="0" applyNumberFormat="1" applyBorder="1" applyAlignment="1" applyProtection="1">
      <alignment horizontal="center" vertical="center" wrapText="1"/>
      <protection locked="0"/>
    </xf>
    <xf numFmtId="166" fontId="0" fillId="0" borderId="0" xfId="0" applyNumberFormat="1" applyAlignment="1">
      <alignment horizontal="right" vertical="center"/>
    </xf>
    <xf numFmtId="168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left" vertical="top" wrapText="1"/>
    </xf>
    <xf numFmtId="0" fontId="4" fillId="3" borderId="0" xfId="0" applyFont="1" applyFill="1" applyAlignment="1" applyProtection="1">
      <alignment horizontal="center"/>
    </xf>
    <xf numFmtId="0" fontId="4" fillId="3" borderId="0" xfId="0" applyNumberFormat="1" applyFont="1" applyFill="1" applyAlignment="1" applyProtection="1">
      <alignment horizontal="center"/>
    </xf>
    <xf numFmtId="0" fontId="11" fillId="3" borderId="0" xfId="0" applyFont="1" applyFill="1" applyAlignment="1" applyProtection="1">
      <alignment horizontal="left"/>
    </xf>
    <xf numFmtId="0" fontId="5" fillId="0" borderId="20" xfId="0" applyNumberFormat="1" applyFont="1" applyBorder="1" applyAlignment="1">
      <alignment horizontal="center" vertical="center"/>
    </xf>
    <xf numFmtId="0" fontId="5" fillId="0" borderId="55" xfId="0" applyNumberFormat="1" applyFont="1" applyBorder="1" applyAlignment="1">
      <alignment horizontal="center" vertical="center"/>
    </xf>
    <xf numFmtId="0" fontId="5" fillId="0" borderId="56" xfId="0" applyNumberFormat="1" applyFont="1" applyBorder="1" applyAlignment="1">
      <alignment horizontal="center" vertical="center"/>
    </xf>
    <xf numFmtId="0" fontId="5" fillId="0" borderId="43" xfId="0" applyNumberFormat="1" applyFont="1" applyBorder="1" applyAlignment="1">
      <alignment horizontal="center" vertical="center"/>
    </xf>
    <xf numFmtId="14" fontId="0" fillId="0" borderId="48" xfId="0" applyNumberFormat="1" applyBorder="1" applyAlignment="1">
      <alignment horizontal="center" vertical="center" textRotation="90"/>
    </xf>
    <xf numFmtId="14" fontId="0" fillId="0" borderId="53" xfId="0" applyNumberFormat="1" applyBorder="1" applyAlignment="1">
      <alignment horizontal="center" vertical="center" textRotation="90"/>
    </xf>
    <xf numFmtId="14" fontId="0" fillId="0" borderId="42" xfId="0" applyNumberFormat="1" applyBorder="1" applyAlignment="1">
      <alignment horizontal="center" vertical="center" textRotation="90"/>
    </xf>
    <xf numFmtId="14" fontId="0" fillId="0" borderId="52" xfId="0" applyNumberFormat="1" applyBorder="1" applyAlignment="1">
      <alignment horizontal="center" vertical="center" textRotation="90"/>
    </xf>
    <xf numFmtId="14" fontId="0" fillId="0" borderId="54" xfId="0" applyNumberFormat="1" applyBorder="1" applyAlignment="1">
      <alignment horizontal="center" vertical="center" textRotation="90"/>
    </xf>
    <xf numFmtId="0" fontId="1" fillId="0" borderId="0" xfId="0" applyFont="1" applyAlignment="1" applyProtection="1">
      <alignment horizontal="left" vertical="center" wrapText="1"/>
    </xf>
    <xf numFmtId="0" fontId="9" fillId="10" borderId="5" xfId="0" applyFont="1" applyFill="1" applyBorder="1" applyAlignment="1">
      <alignment horizontal="center" vertical="center" wrapText="1"/>
    </xf>
    <xf numFmtId="0" fontId="9" fillId="13" borderId="5" xfId="0" applyFont="1" applyFill="1" applyBorder="1" applyAlignment="1">
      <alignment horizontal="center" vertical="center" wrapText="1"/>
    </xf>
    <xf numFmtId="0" fontId="0" fillId="0" borderId="66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0" borderId="0" xfId="0" applyAlignment="1">
      <alignment horizontal="left"/>
    </xf>
    <xf numFmtId="0" fontId="0" fillId="2" borderId="4" xfId="0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0" fillId="2" borderId="12" xfId="0" applyFill="1" applyBorder="1" applyAlignment="1" applyProtection="1">
      <alignment horizontal="left"/>
      <protection locked="0"/>
    </xf>
    <xf numFmtId="0" fontId="0" fillId="12" borderId="41" xfId="0" applyFill="1" applyBorder="1" applyAlignment="1">
      <alignment horizontal="center"/>
    </xf>
    <xf numFmtId="0" fontId="0" fillId="12" borderId="38" xfId="0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0" fillId="7" borderId="29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8" borderId="21" xfId="0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0" fontId="0" fillId="14" borderId="38" xfId="0" applyFill="1" applyBorder="1" applyAlignment="1">
      <alignment horizontal="center"/>
    </xf>
    <xf numFmtId="0" fontId="0" fillId="14" borderId="29" xfId="0" applyFill="1" applyBorder="1" applyAlignment="1">
      <alignment horizontal="center"/>
    </xf>
    <xf numFmtId="0" fontId="0" fillId="14" borderId="21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167" fontId="0" fillId="0" borderId="12" xfId="0" applyNumberFormat="1" applyBorder="1" applyAlignment="1" applyProtection="1">
      <alignment vertical="center" wrapText="1"/>
      <protection locked="0"/>
    </xf>
    <xf numFmtId="167" fontId="0" fillId="0" borderId="15" xfId="0" applyNumberFormat="1" applyBorder="1" applyAlignment="1" applyProtection="1">
      <alignment vertical="center" wrapText="1"/>
      <protection locked="0"/>
    </xf>
    <xf numFmtId="167" fontId="0" fillId="0" borderId="0" xfId="0" applyNumberFormat="1" applyAlignment="1" applyProtection="1">
      <alignment vertical="center" wrapText="1"/>
      <protection locked="0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5" borderId="28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57" xfId="0" applyFill="1" applyBorder="1" applyAlignment="1">
      <alignment horizontal="center"/>
    </xf>
    <xf numFmtId="0" fontId="0" fillId="5" borderId="58" xfId="0" applyFill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57" xfId="0" applyFill="1" applyBorder="1" applyAlignment="1">
      <alignment horizontal="center"/>
    </xf>
    <xf numFmtId="0" fontId="0" fillId="14" borderId="58" xfId="0" applyFill="1" applyBorder="1" applyAlignment="1">
      <alignment horizontal="center"/>
    </xf>
    <xf numFmtId="0" fontId="0" fillId="14" borderId="59" xfId="0" applyFill="1" applyBorder="1" applyAlignment="1">
      <alignment horizontal="center"/>
    </xf>
    <xf numFmtId="0" fontId="0" fillId="14" borderId="28" xfId="0" applyFill="1" applyBorder="1" applyAlignment="1">
      <alignment horizontal="center"/>
    </xf>
    <xf numFmtId="0" fontId="0" fillId="14" borderId="41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6" fillId="0" borderId="9" xfId="0" applyFont="1" applyFill="1" applyBorder="1" applyAlignment="1">
      <alignment vertical="center" wrapText="1"/>
    </xf>
    <xf numFmtId="164" fontId="2" fillId="4" borderId="6" xfId="0" applyNumberFormat="1" applyFont="1" applyFill="1" applyBorder="1" applyAlignment="1" applyProtection="1">
      <alignment horizontal="left" vertical="top" wrapText="1"/>
    </xf>
    <xf numFmtId="164" fontId="2" fillId="4" borderId="8" xfId="0" applyNumberFormat="1" applyFont="1" applyFill="1" applyBorder="1" applyAlignment="1" applyProtection="1">
      <alignment horizontal="left" vertical="top" wrapText="1"/>
    </xf>
    <xf numFmtId="164" fontId="2" fillId="6" borderId="6" xfId="0" applyNumberFormat="1" applyFont="1" applyFill="1" applyBorder="1" applyAlignment="1" applyProtection="1">
      <alignment horizontal="left" vertical="top" wrapText="1"/>
    </xf>
    <xf numFmtId="164" fontId="2" fillId="6" borderId="8" xfId="0" applyNumberFormat="1" applyFont="1" applyFill="1" applyBorder="1" applyAlignment="1" applyProtection="1">
      <alignment horizontal="left" vertical="top" wrapText="1"/>
    </xf>
    <xf numFmtId="164" fontId="2" fillId="5" borderId="6" xfId="0" applyNumberFormat="1" applyFont="1" applyFill="1" applyBorder="1" applyAlignment="1" applyProtection="1">
      <alignment horizontal="left" vertical="top" wrapText="1"/>
    </xf>
    <xf numFmtId="164" fontId="2" fillId="5" borderId="8" xfId="0" applyNumberFormat="1" applyFont="1" applyFill="1" applyBorder="1" applyAlignment="1" applyProtection="1">
      <alignment horizontal="left" vertical="top" wrapText="1"/>
    </xf>
    <xf numFmtId="164" fontId="2" fillId="8" borderId="6" xfId="0" applyNumberFormat="1" applyFont="1" applyFill="1" applyBorder="1" applyAlignment="1" applyProtection="1">
      <alignment horizontal="left" vertical="top" wrapText="1"/>
    </xf>
    <xf numFmtId="164" fontId="2" fillId="8" borderId="8" xfId="0" applyNumberFormat="1" applyFont="1" applyFill="1" applyBorder="1" applyAlignment="1" applyProtection="1">
      <alignment horizontal="left" vertical="top" wrapText="1"/>
    </xf>
    <xf numFmtId="164" fontId="2" fillId="7" borderId="6" xfId="0" applyNumberFormat="1" applyFont="1" applyFill="1" applyBorder="1" applyAlignment="1" applyProtection="1">
      <alignment horizontal="left" vertical="top" wrapText="1"/>
    </xf>
    <xf numFmtId="164" fontId="2" fillId="7" borderId="8" xfId="0" applyNumberFormat="1" applyFont="1" applyFill="1" applyBorder="1" applyAlignment="1" applyProtection="1">
      <alignment horizontal="left" vertical="top" wrapText="1"/>
    </xf>
    <xf numFmtId="164" fontId="2" fillId="12" borderId="6" xfId="0" applyNumberFormat="1" applyFont="1" applyFill="1" applyBorder="1" applyAlignment="1" applyProtection="1">
      <alignment horizontal="left" vertical="top" wrapText="1"/>
    </xf>
    <xf numFmtId="164" fontId="2" fillId="12" borderId="8" xfId="0" applyNumberFormat="1" applyFont="1" applyFill="1" applyBorder="1" applyAlignment="1" applyProtection="1">
      <alignment horizontal="left" vertical="top" wrapText="1"/>
    </xf>
  </cellXfs>
  <cellStyles count="1">
    <cellStyle name="Normal" xfId="0" builtinId="0"/>
  </cellStyles>
  <dxfs count="12">
    <dxf>
      <fill>
        <patternFill>
          <bgColor rgb="FFFFCC66"/>
        </patternFill>
      </fill>
    </dxf>
    <dxf>
      <fill>
        <patternFill>
          <bgColor rgb="FF92D050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  <dxf>
      <fill>
        <patternFill>
          <bgColor rgb="FFC1DC7E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FFFF99"/>
      <color rgb="FFC1DC7E"/>
      <color rgb="FF66FF3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14999847407452621"/>
  </sheetPr>
  <dimension ref="A2:J67"/>
  <sheetViews>
    <sheetView topLeftCell="A4" zoomScale="130" zoomScaleNormal="130" workbookViewId="0">
      <selection activeCell="L19" sqref="L19"/>
    </sheetView>
  </sheetViews>
  <sheetFormatPr baseColWidth="10" defaultColWidth="11.42578125" defaultRowHeight="15" x14ac:dyDescent="0.25"/>
  <cols>
    <col min="1" max="1" width="2.85546875" style="9" customWidth="1"/>
    <col min="2" max="2" width="19.28515625" style="9" customWidth="1"/>
    <col min="3" max="3" width="14" style="9" bestFit="1" customWidth="1"/>
    <col min="4" max="4" width="15.42578125" style="9" bestFit="1" customWidth="1"/>
    <col min="5" max="5" width="14.28515625" style="9" customWidth="1"/>
    <col min="6" max="6" width="2.85546875" style="9" customWidth="1"/>
    <col min="7" max="7" width="2.28515625" style="9" customWidth="1"/>
    <col min="8" max="8" width="21.28515625" style="108" customWidth="1"/>
    <col min="9" max="9" width="46.42578125" style="9" bestFit="1" customWidth="1"/>
    <col min="10" max="10" width="2.85546875" style="9" customWidth="1"/>
    <col min="11" max="16384" width="11.42578125" style="9"/>
  </cols>
  <sheetData>
    <row r="2" spans="1:10" ht="15" customHeight="1" x14ac:dyDescent="0.35">
      <c r="A2" s="8"/>
      <c r="B2" s="8"/>
      <c r="C2" s="8"/>
      <c r="D2" s="8"/>
      <c r="E2" s="126"/>
      <c r="F2" s="8"/>
      <c r="G2" s="8"/>
      <c r="H2" s="107"/>
      <c r="I2" s="8"/>
      <c r="J2" s="8"/>
    </row>
    <row r="3" spans="1:10" s="12" customFormat="1" ht="21" x14ac:dyDescent="0.35">
      <c r="A3" s="11"/>
      <c r="B3" s="125" t="s">
        <v>4</v>
      </c>
      <c r="C3" s="176" t="s">
        <v>26</v>
      </c>
      <c r="D3" s="176"/>
      <c r="E3" s="11"/>
      <c r="F3" s="10"/>
      <c r="G3" s="187" t="s">
        <v>11</v>
      </c>
      <c r="H3" s="187"/>
      <c r="I3" s="10" t="s">
        <v>5</v>
      </c>
      <c r="J3" s="10"/>
    </row>
    <row r="4" spans="1:10" x14ac:dyDescent="0.25">
      <c r="A4" s="8"/>
      <c r="B4" s="8"/>
      <c r="C4" s="8"/>
      <c r="D4" s="8"/>
      <c r="E4" s="8"/>
      <c r="F4" s="8"/>
      <c r="G4" s="114">
        <v>1</v>
      </c>
      <c r="H4" s="168" t="str">
        <f>D11</f>
        <v>Analyse</v>
      </c>
      <c r="I4" s="206" t="s">
        <v>57</v>
      </c>
      <c r="J4" s="118"/>
    </row>
    <row r="5" spans="1:10" ht="18.75" x14ac:dyDescent="0.3">
      <c r="A5" s="8"/>
      <c r="B5" s="10" t="s">
        <v>44</v>
      </c>
      <c r="C5" s="10" t="s">
        <v>2</v>
      </c>
      <c r="D5" s="10" t="s">
        <v>3</v>
      </c>
      <c r="E5" s="8"/>
      <c r="F5" s="8"/>
      <c r="G5" s="100"/>
      <c r="H5" s="115"/>
      <c r="I5" s="207" t="s">
        <v>83</v>
      </c>
      <c r="J5" s="118"/>
    </row>
    <row r="6" spans="1:10" x14ac:dyDescent="0.25">
      <c r="A6" s="8"/>
      <c r="B6" s="5">
        <v>44319</v>
      </c>
      <c r="C6" s="6" t="s">
        <v>6</v>
      </c>
      <c r="D6" s="7" t="s">
        <v>7</v>
      </c>
      <c r="E6" s="8"/>
      <c r="F6" s="8"/>
      <c r="G6" s="100"/>
      <c r="H6" s="115"/>
      <c r="I6" s="207" t="s">
        <v>103</v>
      </c>
      <c r="J6" s="118"/>
    </row>
    <row r="7" spans="1:10" ht="18.75" x14ac:dyDescent="0.3">
      <c r="A7" s="8"/>
      <c r="B7" s="10" t="s">
        <v>43</v>
      </c>
      <c r="C7" s="103"/>
      <c r="D7" s="10" t="s">
        <v>31</v>
      </c>
      <c r="E7" s="8"/>
      <c r="F7" s="8"/>
      <c r="G7" s="100"/>
      <c r="H7" s="115"/>
      <c r="I7" s="207" t="s">
        <v>102</v>
      </c>
      <c r="J7" s="118"/>
    </row>
    <row r="8" spans="1:10" x14ac:dyDescent="0.25">
      <c r="A8" s="8"/>
      <c r="B8" s="5">
        <v>44350</v>
      </c>
      <c r="C8" s="103"/>
      <c r="D8" s="171" t="s">
        <v>45</v>
      </c>
      <c r="E8" s="8"/>
      <c r="F8" s="8"/>
      <c r="G8" s="100"/>
      <c r="H8" s="115"/>
      <c r="I8" s="207" t="s">
        <v>104</v>
      </c>
      <c r="J8" s="118"/>
    </row>
    <row r="9" spans="1:10" x14ac:dyDescent="0.25">
      <c r="A9" s="8"/>
      <c r="B9" s="8"/>
      <c r="C9" s="8"/>
      <c r="D9" s="8"/>
      <c r="E9" s="8"/>
      <c r="F9" s="8"/>
      <c r="G9" s="100"/>
      <c r="H9" s="115"/>
      <c r="I9" s="208" t="s">
        <v>81</v>
      </c>
      <c r="J9" s="118"/>
    </row>
    <row r="10" spans="1:10" ht="18.75" x14ac:dyDescent="0.3">
      <c r="A10" s="8"/>
      <c r="B10" s="8"/>
      <c r="C10" s="188" t="s">
        <v>16</v>
      </c>
      <c r="D10" s="188"/>
      <c r="E10" s="8"/>
      <c r="F10" s="8"/>
      <c r="G10" s="114">
        <v>2</v>
      </c>
      <c r="H10" s="168" t="str">
        <f>D12</f>
        <v>Conception</v>
      </c>
      <c r="I10" s="111" t="s">
        <v>58</v>
      </c>
      <c r="J10" s="118"/>
    </row>
    <row r="11" spans="1:10" x14ac:dyDescent="0.25">
      <c r="A11" s="8"/>
      <c r="B11" s="8"/>
      <c r="C11" s="170">
        <v>1</v>
      </c>
      <c r="D11" s="104" t="s">
        <v>17</v>
      </c>
      <c r="E11" s="8"/>
      <c r="F11" s="8"/>
      <c r="G11" s="100"/>
      <c r="H11" s="116"/>
      <c r="I11" s="110" t="s">
        <v>60</v>
      </c>
      <c r="J11" s="118"/>
    </row>
    <row r="12" spans="1:10" x14ac:dyDescent="0.25">
      <c r="A12" s="8"/>
      <c r="B12" s="8"/>
      <c r="C12" s="170">
        <v>2</v>
      </c>
      <c r="D12" s="104" t="s">
        <v>18</v>
      </c>
      <c r="E12" s="8"/>
      <c r="F12" s="8"/>
      <c r="G12" s="100"/>
      <c r="H12" s="116"/>
      <c r="I12" s="110" t="s">
        <v>59</v>
      </c>
      <c r="J12" s="118"/>
    </row>
    <row r="13" spans="1:10" x14ac:dyDescent="0.25">
      <c r="A13" s="8"/>
      <c r="B13" s="8"/>
      <c r="C13" s="106">
        <v>3</v>
      </c>
      <c r="D13" s="105" t="s">
        <v>19</v>
      </c>
      <c r="E13" s="8"/>
      <c r="F13" s="8"/>
      <c r="G13" s="100"/>
      <c r="H13" s="116"/>
      <c r="I13" s="110" t="s">
        <v>61</v>
      </c>
      <c r="J13" s="118"/>
    </row>
    <row r="14" spans="1:10" x14ac:dyDescent="0.25">
      <c r="A14" s="8"/>
      <c r="B14" s="8"/>
      <c r="C14" s="106">
        <v>4</v>
      </c>
      <c r="D14" s="105" t="s">
        <v>20</v>
      </c>
      <c r="E14" s="8"/>
      <c r="F14" s="8"/>
      <c r="G14" s="100"/>
      <c r="H14" s="116"/>
      <c r="I14" s="110" t="s">
        <v>62</v>
      </c>
      <c r="J14" s="118"/>
    </row>
    <row r="15" spans="1:10" x14ac:dyDescent="0.25">
      <c r="A15" s="8"/>
      <c r="B15" s="8"/>
      <c r="C15" s="106">
        <v>5</v>
      </c>
      <c r="D15" s="105" t="s">
        <v>47</v>
      </c>
      <c r="E15" s="8"/>
      <c r="F15" s="8"/>
      <c r="G15" s="100"/>
      <c r="H15" s="116"/>
      <c r="I15" s="110" t="s">
        <v>63</v>
      </c>
      <c r="J15" s="118"/>
    </row>
    <row r="16" spans="1:10" x14ac:dyDescent="0.25">
      <c r="A16" s="8"/>
      <c r="B16" s="8"/>
      <c r="C16" s="106">
        <v>6</v>
      </c>
      <c r="D16" s="105" t="s">
        <v>40</v>
      </c>
      <c r="E16" s="8"/>
      <c r="F16" s="8"/>
      <c r="G16" s="100"/>
      <c r="H16" s="116"/>
      <c r="I16" s="110" t="s">
        <v>64</v>
      </c>
      <c r="J16" s="103"/>
    </row>
    <row r="17" spans="1:10" x14ac:dyDescent="0.25">
      <c r="A17" s="8"/>
      <c r="B17" s="150"/>
      <c r="C17" s="150"/>
      <c r="D17" s="8"/>
      <c r="E17" s="8"/>
      <c r="F17" s="8"/>
      <c r="G17" s="100"/>
      <c r="H17" s="115"/>
      <c r="I17" s="110" t="s">
        <v>65</v>
      </c>
      <c r="J17" s="103"/>
    </row>
    <row r="18" spans="1:10" ht="15.75" x14ac:dyDescent="0.25">
      <c r="A18" s="8"/>
      <c r="B18" s="189" t="s">
        <v>39</v>
      </c>
      <c r="C18" s="189"/>
      <c r="D18" s="154"/>
      <c r="E18" s="139"/>
      <c r="F18" s="8"/>
      <c r="G18" s="100"/>
      <c r="H18" s="113"/>
      <c r="I18" s="3" t="s">
        <v>66</v>
      </c>
      <c r="J18" s="103"/>
    </row>
    <row r="19" spans="1:10" x14ac:dyDescent="0.25">
      <c r="A19" s="8"/>
      <c r="B19" s="155" t="s">
        <v>35</v>
      </c>
      <c r="C19" s="133" t="s">
        <v>33</v>
      </c>
      <c r="D19" s="152"/>
      <c r="E19" s="153"/>
      <c r="F19" s="8"/>
      <c r="G19" s="100"/>
      <c r="H19" s="115"/>
      <c r="I19" s="110" t="s">
        <v>75</v>
      </c>
      <c r="J19" s="103"/>
    </row>
    <row r="20" spans="1:10" x14ac:dyDescent="0.25">
      <c r="A20" s="8"/>
      <c r="B20" s="155" t="s">
        <v>34</v>
      </c>
      <c r="C20" s="156" t="s">
        <v>100</v>
      </c>
      <c r="D20" s="152"/>
      <c r="E20" s="107"/>
      <c r="F20" s="8"/>
      <c r="G20" s="100"/>
      <c r="H20" s="115"/>
      <c r="I20" s="110" t="s">
        <v>82</v>
      </c>
      <c r="J20" s="103"/>
    </row>
    <row r="21" spans="1:10" x14ac:dyDescent="0.25">
      <c r="A21" s="8"/>
      <c r="B21" s="155" t="s">
        <v>36</v>
      </c>
      <c r="C21" s="156" t="s">
        <v>101</v>
      </c>
      <c r="D21" s="152"/>
      <c r="E21" s="107"/>
      <c r="F21" s="8"/>
      <c r="G21" s="100"/>
      <c r="H21" s="116"/>
      <c r="I21" s="110" t="s">
        <v>115</v>
      </c>
      <c r="J21" s="103"/>
    </row>
    <row r="22" spans="1:10" x14ac:dyDescent="0.25">
      <c r="A22" s="8"/>
      <c r="B22" s="155" t="s">
        <v>37</v>
      </c>
      <c r="C22" s="133"/>
      <c r="D22" s="139"/>
      <c r="E22" s="151"/>
      <c r="F22" s="8"/>
      <c r="G22" s="100"/>
      <c r="H22" s="116"/>
      <c r="I22" s="110" t="s">
        <v>105</v>
      </c>
      <c r="J22" s="103"/>
    </row>
    <row r="23" spans="1:10" ht="15.75" x14ac:dyDescent="0.25">
      <c r="A23" s="8"/>
      <c r="B23" s="155" t="s">
        <v>38</v>
      </c>
      <c r="C23" s="177"/>
      <c r="D23" s="139"/>
      <c r="E23" s="8"/>
      <c r="F23" s="8"/>
      <c r="G23" s="100"/>
      <c r="H23" s="116"/>
      <c r="I23" s="110" t="s">
        <v>116</v>
      </c>
      <c r="J23" s="103"/>
    </row>
    <row r="24" spans="1:10" x14ac:dyDescent="0.25">
      <c r="A24" s="8"/>
      <c r="B24" s="8"/>
      <c r="C24" s="157"/>
      <c r="D24" s="139"/>
      <c r="E24" s="8"/>
      <c r="F24" s="8"/>
      <c r="G24" s="100"/>
      <c r="H24" s="116"/>
      <c r="I24" s="110" t="s">
        <v>27</v>
      </c>
      <c r="J24" s="103"/>
    </row>
    <row r="25" spans="1:10" x14ac:dyDescent="0.25">
      <c r="A25" s="8"/>
      <c r="B25" s="8"/>
      <c r="C25" s="156"/>
      <c r="D25" s="8"/>
      <c r="E25" s="8"/>
      <c r="F25" s="8"/>
      <c r="G25" s="101"/>
      <c r="H25" s="117"/>
      <c r="I25" s="112" t="s">
        <v>28</v>
      </c>
      <c r="J25" s="103"/>
    </row>
    <row r="26" spans="1:10" x14ac:dyDescent="0.25">
      <c r="A26" s="8"/>
      <c r="B26" s="155"/>
      <c r="C26" s="156"/>
      <c r="D26" s="8"/>
      <c r="E26" s="8"/>
      <c r="F26" s="8"/>
      <c r="G26" s="114">
        <v>3</v>
      </c>
      <c r="H26" s="168" t="str">
        <f>D13</f>
        <v>Implémentation</v>
      </c>
      <c r="I26" s="111" t="s">
        <v>78</v>
      </c>
      <c r="J26" s="8"/>
    </row>
    <row r="27" spans="1:10" x14ac:dyDescent="0.25">
      <c r="A27" s="8"/>
      <c r="B27" s="8"/>
      <c r="C27" s="8"/>
      <c r="D27" s="8"/>
      <c r="E27" s="8"/>
      <c r="F27" s="8"/>
      <c r="G27" s="100"/>
      <c r="H27" s="116"/>
      <c r="I27" s="109" t="s">
        <v>79</v>
      </c>
      <c r="J27" s="8"/>
    </row>
    <row r="28" spans="1:10" x14ac:dyDescent="0.25">
      <c r="A28" s="8"/>
      <c r="B28" s="8"/>
      <c r="C28" s="8"/>
      <c r="D28" s="8"/>
      <c r="E28" s="8"/>
      <c r="F28" s="8"/>
      <c r="G28" s="100"/>
      <c r="H28" s="116"/>
      <c r="I28" s="110" t="s">
        <v>84</v>
      </c>
      <c r="J28" s="8"/>
    </row>
    <row r="29" spans="1:10" x14ac:dyDescent="0.25">
      <c r="A29" s="8"/>
      <c r="B29" s="8"/>
      <c r="C29" s="8"/>
      <c r="D29" s="8"/>
      <c r="E29" s="8"/>
      <c r="F29" s="8"/>
      <c r="G29" s="100"/>
      <c r="H29" s="116"/>
      <c r="I29" s="109" t="s">
        <v>85</v>
      </c>
      <c r="J29" s="8"/>
    </row>
    <row r="30" spans="1:10" x14ac:dyDescent="0.25">
      <c r="A30" s="8"/>
      <c r="B30" s="8"/>
      <c r="C30" s="8"/>
      <c r="D30" s="8"/>
      <c r="E30" s="8"/>
      <c r="F30" s="8"/>
      <c r="G30" s="100"/>
      <c r="H30" s="116"/>
      <c r="I30" s="110" t="s">
        <v>86</v>
      </c>
      <c r="J30" s="8"/>
    </row>
    <row r="31" spans="1:10" x14ac:dyDescent="0.25">
      <c r="A31" s="8"/>
      <c r="B31" s="8"/>
      <c r="C31" s="8"/>
      <c r="D31" s="8"/>
      <c r="E31" s="8"/>
      <c r="F31" s="8"/>
      <c r="G31" s="100"/>
      <c r="H31" s="116"/>
      <c r="I31" s="109" t="s">
        <v>87</v>
      </c>
      <c r="J31" s="8"/>
    </row>
    <row r="32" spans="1:10" x14ac:dyDescent="0.25">
      <c r="A32" s="8"/>
      <c r="B32" s="8"/>
      <c r="C32" s="8"/>
      <c r="D32" s="8"/>
      <c r="E32" s="8"/>
      <c r="F32" s="8"/>
      <c r="G32" s="100"/>
      <c r="H32" s="116"/>
      <c r="I32" s="110" t="s">
        <v>88</v>
      </c>
      <c r="J32" s="8"/>
    </row>
    <row r="33" spans="1:10" x14ac:dyDescent="0.25">
      <c r="A33" s="8"/>
      <c r="B33" s="8"/>
      <c r="C33" s="8"/>
      <c r="D33" s="8"/>
      <c r="E33" s="8"/>
      <c r="F33" s="8"/>
      <c r="G33" s="100"/>
      <c r="H33" s="116"/>
      <c r="I33" s="109" t="s">
        <v>89</v>
      </c>
      <c r="J33" s="8"/>
    </row>
    <row r="34" spans="1:10" x14ac:dyDescent="0.25">
      <c r="A34" s="8"/>
      <c r="B34" s="8"/>
      <c r="C34" s="8"/>
      <c r="D34" s="8"/>
      <c r="E34" s="8"/>
      <c r="F34" s="8"/>
      <c r="G34" s="100"/>
      <c r="H34" s="116"/>
      <c r="I34" s="110" t="s">
        <v>90</v>
      </c>
      <c r="J34" s="8"/>
    </row>
    <row r="35" spans="1:10" x14ac:dyDescent="0.25">
      <c r="A35" s="8"/>
      <c r="B35" s="8"/>
      <c r="C35" s="8"/>
      <c r="D35" s="8"/>
      <c r="E35" s="8"/>
      <c r="F35" s="8"/>
      <c r="G35" s="100"/>
      <c r="H35" s="116"/>
      <c r="I35" s="109" t="s">
        <v>91</v>
      </c>
      <c r="J35" s="8"/>
    </row>
    <row r="36" spans="1:10" x14ac:dyDescent="0.25">
      <c r="A36" s="8"/>
      <c r="B36" s="8"/>
      <c r="C36" s="8"/>
      <c r="D36" s="8"/>
      <c r="E36" s="8"/>
      <c r="F36" s="8"/>
      <c r="G36" s="100"/>
      <c r="H36" s="119"/>
      <c r="I36" s="110" t="s">
        <v>92</v>
      </c>
      <c r="J36" s="8"/>
    </row>
    <row r="37" spans="1:10" x14ac:dyDescent="0.25">
      <c r="A37" s="8"/>
      <c r="B37" s="8"/>
      <c r="C37" s="8"/>
      <c r="D37" s="8"/>
      <c r="E37" s="8"/>
      <c r="F37" s="8"/>
      <c r="G37" s="120"/>
      <c r="H37" s="121"/>
      <c r="I37" s="109" t="s">
        <v>93</v>
      </c>
      <c r="J37" s="8"/>
    </row>
    <row r="38" spans="1:10" x14ac:dyDescent="0.25">
      <c r="A38" s="8"/>
      <c r="B38" s="8"/>
      <c r="C38" s="8"/>
      <c r="D38" s="8"/>
      <c r="E38" s="8"/>
      <c r="F38" s="8"/>
      <c r="G38" s="120"/>
      <c r="H38" s="121"/>
      <c r="I38" s="110" t="s">
        <v>94</v>
      </c>
      <c r="J38" s="8"/>
    </row>
    <row r="39" spans="1:10" x14ac:dyDescent="0.25">
      <c r="A39" s="8"/>
      <c r="B39" s="8"/>
      <c r="C39" s="8"/>
      <c r="D39" s="8"/>
      <c r="E39" s="8"/>
      <c r="F39" s="8"/>
      <c r="G39" s="102"/>
      <c r="H39" s="122"/>
      <c r="I39" s="109" t="s">
        <v>95</v>
      </c>
      <c r="J39" s="8"/>
    </row>
    <row r="40" spans="1:10" x14ac:dyDescent="0.25">
      <c r="A40" s="8"/>
      <c r="B40" s="8"/>
      <c r="C40" s="8"/>
      <c r="D40" s="8"/>
      <c r="E40" s="8"/>
      <c r="F40" s="8"/>
      <c r="G40" s="102"/>
      <c r="H40" s="122"/>
      <c r="I40" s="110" t="s">
        <v>96</v>
      </c>
      <c r="J40" s="8"/>
    </row>
    <row r="41" spans="1:10" x14ac:dyDescent="0.25">
      <c r="A41" s="8"/>
      <c r="B41" s="8"/>
      <c r="C41" s="8"/>
      <c r="D41" s="8"/>
      <c r="E41" s="8"/>
      <c r="F41" s="8"/>
      <c r="G41" s="102"/>
      <c r="H41" s="122"/>
      <c r="I41" s="109" t="s">
        <v>97</v>
      </c>
      <c r="J41" s="8"/>
    </row>
    <row r="42" spans="1:10" x14ac:dyDescent="0.25">
      <c r="A42" s="8"/>
      <c r="B42" s="8"/>
      <c r="C42" s="8"/>
      <c r="D42" s="8"/>
      <c r="E42" s="8"/>
      <c r="F42" s="8"/>
      <c r="G42" s="102"/>
      <c r="H42" s="122"/>
      <c r="I42" s="110" t="s">
        <v>98</v>
      </c>
      <c r="J42" s="8"/>
    </row>
    <row r="43" spans="1:10" x14ac:dyDescent="0.25">
      <c r="A43" s="8"/>
      <c r="B43" s="8"/>
      <c r="C43" s="8"/>
      <c r="D43" s="8"/>
      <c r="E43" s="8"/>
      <c r="F43" s="8"/>
      <c r="G43" s="102"/>
      <c r="H43" s="122"/>
      <c r="I43" s="109" t="s">
        <v>99</v>
      </c>
      <c r="J43" s="8"/>
    </row>
    <row r="44" spans="1:10" x14ac:dyDescent="0.25">
      <c r="A44" s="8"/>
      <c r="B44" s="8"/>
      <c r="C44" s="8"/>
      <c r="D44" s="8"/>
      <c r="E44" s="8"/>
      <c r="F44" s="8"/>
      <c r="G44" s="102"/>
      <c r="H44" s="122"/>
      <c r="I44" s="110" t="s">
        <v>21</v>
      </c>
      <c r="J44" s="8"/>
    </row>
    <row r="45" spans="1:10" x14ac:dyDescent="0.25">
      <c r="A45" s="8"/>
      <c r="B45" s="8"/>
      <c r="C45" s="8"/>
      <c r="D45" s="8"/>
      <c r="E45" s="8"/>
      <c r="F45" s="8"/>
      <c r="G45" s="102"/>
      <c r="H45" s="122"/>
      <c r="I45" s="109" t="s">
        <v>22</v>
      </c>
      <c r="J45" s="8"/>
    </row>
    <row r="46" spans="1:10" x14ac:dyDescent="0.25">
      <c r="A46" s="8"/>
      <c r="B46" s="8"/>
      <c r="C46" s="8"/>
      <c r="D46" s="8"/>
      <c r="E46" s="8"/>
      <c r="F46" s="8"/>
      <c r="G46" s="102"/>
      <c r="H46" s="122"/>
      <c r="I46" s="110" t="s">
        <v>23</v>
      </c>
      <c r="J46" s="8"/>
    </row>
    <row r="47" spans="1:10" x14ac:dyDescent="0.25">
      <c r="A47" s="8"/>
      <c r="B47" s="8"/>
      <c r="C47" s="8"/>
      <c r="D47" s="8"/>
      <c r="E47" s="8"/>
      <c r="F47" s="8"/>
      <c r="G47" s="102"/>
      <c r="H47" s="122"/>
      <c r="I47" s="109" t="s">
        <v>24</v>
      </c>
      <c r="J47" s="8"/>
    </row>
    <row r="48" spans="1:10" x14ac:dyDescent="0.25">
      <c r="A48" s="8"/>
      <c r="B48" s="8"/>
      <c r="C48" s="8"/>
      <c r="D48" s="8"/>
      <c r="E48" s="8"/>
      <c r="F48" s="8"/>
      <c r="G48" s="123"/>
      <c r="H48" s="124"/>
      <c r="I48" s="112" t="s">
        <v>25</v>
      </c>
      <c r="J48" s="8"/>
    </row>
    <row r="49" spans="1:10" x14ac:dyDescent="0.25">
      <c r="A49" s="8"/>
      <c r="B49" s="8"/>
      <c r="C49" s="8"/>
      <c r="D49" s="8"/>
      <c r="E49" s="8"/>
      <c r="F49" s="8"/>
      <c r="G49" s="114">
        <v>4</v>
      </c>
      <c r="H49" s="168" t="str">
        <f>D14</f>
        <v>Documentation</v>
      </c>
      <c r="I49" s="2" t="s">
        <v>106</v>
      </c>
      <c r="J49" s="8"/>
    </row>
    <row r="50" spans="1:10" x14ac:dyDescent="0.25">
      <c r="A50" s="8"/>
      <c r="B50" s="8"/>
      <c r="C50" s="8"/>
      <c r="D50" s="8"/>
      <c r="E50" s="8"/>
      <c r="F50" s="8"/>
      <c r="G50" s="100"/>
      <c r="H50" s="116"/>
      <c r="I50" s="3" t="s">
        <v>54</v>
      </c>
      <c r="J50" s="8"/>
    </row>
    <row r="51" spans="1:10" x14ac:dyDescent="0.25">
      <c r="A51" s="8"/>
      <c r="B51" s="8"/>
      <c r="C51" s="8"/>
      <c r="D51" s="8"/>
      <c r="E51" s="8"/>
      <c r="F51" s="8"/>
      <c r="G51" s="100"/>
      <c r="H51" s="116"/>
      <c r="I51" s="3" t="s">
        <v>55</v>
      </c>
      <c r="J51" s="8"/>
    </row>
    <row r="52" spans="1:10" x14ac:dyDescent="0.25">
      <c r="A52" s="8"/>
      <c r="B52" s="8"/>
      <c r="C52" s="8"/>
      <c r="D52" s="8"/>
      <c r="E52" s="8"/>
      <c r="F52" s="8"/>
      <c r="G52" s="100"/>
      <c r="H52" s="116"/>
      <c r="I52" s="3" t="s">
        <v>56</v>
      </c>
      <c r="J52" s="8"/>
    </row>
    <row r="53" spans="1:10" x14ac:dyDescent="0.25">
      <c r="A53" s="8"/>
      <c r="B53" s="8"/>
      <c r="C53" s="8"/>
      <c r="D53" s="8"/>
      <c r="E53" s="8"/>
      <c r="F53" s="8"/>
      <c r="G53" s="100"/>
      <c r="H53" s="116"/>
      <c r="I53" s="3" t="s">
        <v>80</v>
      </c>
      <c r="J53" s="8"/>
    </row>
    <row r="54" spans="1:10" x14ac:dyDescent="0.25">
      <c r="A54" s="8"/>
      <c r="B54" s="8"/>
      <c r="C54" s="8"/>
      <c r="D54" s="8"/>
      <c r="E54" s="8"/>
      <c r="F54" s="8"/>
      <c r="G54" s="101"/>
      <c r="H54" s="117"/>
      <c r="I54" s="4" t="s">
        <v>108</v>
      </c>
      <c r="J54" s="8"/>
    </row>
    <row r="55" spans="1:10" x14ac:dyDescent="0.25">
      <c r="A55" s="8"/>
      <c r="B55" s="8"/>
      <c r="C55" s="8"/>
      <c r="D55" s="8"/>
      <c r="E55" s="8"/>
      <c r="F55" s="8"/>
      <c r="G55" s="114">
        <v>5</v>
      </c>
      <c r="H55" s="168" t="str">
        <f>D15</f>
        <v>Test</v>
      </c>
      <c r="I55" s="111" t="s">
        <v>71</v>
      </c>
      <c r="J55" s="8"/>
    </row>
    <row r="56" spans="1:10" x14ac:dyDescent="0.25">
      <c r="A56" s="8"/>
      <c r="B56" s="8"/>
      <c r="C56" s="8"/>
      <c r="D56" s="8"/>
      <c r="E56" s="8"/>
      <c r="F56" s="8"/>
      <c r="G56" s="100"/>
      <c r="H56" s="116"/>
      <c r="I56" s="110" t="s">
        <v>72</v>
      </c>
      <c r="J56" s="8"/>
    </row>
    <row r="57" spans="1:10" x14ac:dyDescent="0.25">
      <c r="A57" s="8"/>
      <c r="B57" s="8"/>
      <c r="C57" s="8"/>
      <c r="D57" s="8"/>
      <c r="E57" s="8"/>
      <c r="F57" s="8"/>
      <c r="G57" s="100"/>
      <c r="H57" s="116"/>
      <c r="I57" s="110" t="s">
        <v>73</v>
      </c>
      <c r="J57" s="8"/>
    </row>
    <row r="58" spans="1:10" x14ac:dyDescent="0.25">
      <c r="A58" s="8"/>
      <c r="B58" s="8"/>
      <c r="C58" s="8"/>
      <c r="D58" s="8"/>
      <c r="E58" s="8"/>
      <c r="F58" s="8"/>
      <c r="G58" s="100"/>
      <c r="H58" s="116"/>
      <c r="I58" s="110" t="s">
        <v>74</v>
      </c>
      <c r="J58" s="8"/>
    </row>
    <row r="59" spans="1:10" x14ac:dyDescent="0.25">
      <c r="A59" s="8"/>
      <c r="B59" s="8"/>
      <c r="C59" s="8"/>
      <c r="D59" s="8"/>
      <c r="E59" s="8"/>
      <c r="F59" s="8"/>
      <c r="G59" s="100"/>
      <c r="H59" s="116"/>
      <c r="I59" s="110" t="s">
        <v>12</v>
      </c>
      <c r="J59" s="8"/>
    </row>
    <row r="60" spans="1:10" x14ac:dyDescent="0.25">
      <c r="A60" s="8"/>
      <c r="B60" s="8"/>
      <c r="C60" s="8"/>
      <c r="D60" s="8"/>
      <c r="E60" s="8"/>
      <c r="F60" s="8"/>
      <c r="G60" s="101"/>
      <c r="H60" s="117"/>
      <c r="I60" s="112" t="s">
        <v>13</v>
      </c>
      <c r="J60" s="8"/>
    </row>
    <row r="61" spans="1:10" x14ac:dyDescent="0.25">
      <c r="A61" s="8"/>
      <c r="B61" s="8"/>
      <c r="C61" s="8"/>
      <c r="D61" s="8"/>
      <c r="E61" s="8"/>
      <c r="F61" s="8"/>
      <c r="G61" s="100">
        <v>6</v>
      </c>
      <c r="H61" s="169" t="str">
        <f>D16</f>
        <v>Réunion</v>
      </c>
      <c r="I61" s="111" t="s">
        <v>67</v>
      </c>
      <c r="J61" s="8"/>
    </row>
    <row r="62" spans="1:10" x14ac:dyDescent="0.25">
      <c r="A62" s="8"/>
      <c r="B62" s="8"/>
      <c r="C62" s="8"/>
      <c r="D62" s="8"/>
      <c r="E62" s="8"/>
      <c r="F62" s="8"/>
      <c r="G62" s="100"/>
      <c r="H62" s="116"/>
      <c r="I62" s="110" t="s">
        <v>68</v>
      </c>
      <c r="J62" s="8"/>
    </row>
    <row r="63" spans="1:10" x14ac:dyDescent="0.25">
      <c r="A63" s="8"/>
      <c r="B63" s="8"/>
      <c r="C63" s="8"/>
      <c r="D63" s="8"/>
      <c r="E63" s="8"/>
      <c r="F63" s="8"/>
      <c r="G63" s="100"/>
      <c r="H63" s="116"/>
      <c r="I63" s="110" t="s">
        <v>69</v>
      </c>
      <c r="J63" s="8"/>
    </row>
    <row r="64" spans="1:10" x14ac:dyDescent="0.25">
      <c r="A64" s="8"/>
      <c r="B64" s="8"/>
      <c r="C64" s="8"/>
      <c r="D64" s="8"/>
      <c r="E64" s="8"/>
      <c r="F64" s="8"/>
      <c r="G64" s="100"/>
      <c r="H64" s="116"/>
      <c r="I64" s="110" t="s">
        <v>70</v>
      </c>
      <c r="J64" s="8"/>
    </row>
    <row r="65" spans="1:10" x14ac:dyDescent="0.25">
      <c r="A65" s="8"/>
      <c r="B65" s="8"/>
      <c r="C65" s="8"/>
      <c r="D65" s="8"/>
      <c r="E65" s="8"/>
      <c r="F65" s="8"/>
      <c r="G65" s="100"/>
      <c r="H65" s="116"/>
      <c r="I65" s="110" t="s">
        <v>14</v>
      </c>
      <c r="J65" s="8"/>
    </row>
    <row r="66" spans="1:10" x14ac:dyDescent="0.25">
      <c r="A66" s="8"/>
      <c r="B66" s="8"/>
      <c r="C66" s="8"/>
      <c r="D66" s="8"/>
      <c r="E66" s="8"/>
      <c r="F66" s="8"/>
      <c r="G66" s="101"/>
      <c r="H66" s="117"/>
      <c r="I66" s="112" t="s">
        <v>15</v>
      </c>
      <c r="J66" s="8"/>
    </row>
    <row r="67" spans="1:10" x14ac:dyDescent="0.25">
      <c r="A67" s="8"/>
      <c r="B67" s="8"/>
      <c r="C67" s="8"/>
      <c r="D67" s="8"/>
      <c r="E67" s="8"/>
      <c r="F67" s="8"/>
      <c r="G67" s="8"/>
      <c r="H67" s="107"/>
      <c r="I67" s="8"/>
      <c r="J67" s="8"/>
    </row>
  </sheetData>
  <mergeCells count="3">
    <mergeCell ref="G3:H3"/>
    <mergeCell ref="C10:D10"/>
    <mergeCell ref="B18:C18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99"/>
    <pageSetUpPr fitToPage="1"/>
  </sheetPr>
  <dimension ref="B2:GL93"/>
  <sheetViews>
    <sheetView topLeftCell="A64" zoomScale="85" zoomScaleNormal="85" zoomScaleSheetLayoutView="70" zoomScalePageLayoutView="70" workbookViewId="0">
      <selection activeCell="F7" sqref="F7"/>
    </sheetView>
  </sheetViews>
  <sheetFormatPr baseColWidth="10" defaultRowHeight="15" x14ac:dyDescent="0.25"/>
  <cols>
    <col min="1" max="1" width="2.85546875" customWidth="1"/>
    <col min="2" max="2" width="36.5703125" style="18" customWidth="1"/>
    <col min="3" max="32" width="1.7109375" style="35" customWidth="1"/>
    <col min="33" max="35" width="2.7109375" style="35" customWidth="1"/>
    <col min="36" max="57" width="1.7109375" style="35" customWidth="1"/>
    <col min="58" max="61" width="2.7109375" style="35" customWidth="1"/>
    <col min="62" max="91" width="1.7109375" style="35" customWidth="1"/>
    <col min="92" max="95" width="2.7109375" style="35" customWidth="1"/>
    <col min="96" max="117" width="1.7109375" style="35" customWidth="1"/>
    <col min="118" max="120" width="2.7109375" style="35" customWidth="1"/>
    <col min="121" max="137" width="1.7109375" style="35" customWidth="1"/>
    <col min="138" max="143" width="2.7109375" customWidth="1"/>
  </cols>
  <sheetData>
    <row r="2" spans="2:143" ht="15.75" thickBot="1" x14ac:dyDescent="0.3"/>
    <row r="3" spans="2:143" s="13" customFormat="1" ht="66.75" customHeight="1" x14ac:dyDescent="0.25">
      <c r="B3" s="242"/>
      <c r="C3" s="197">
        <f>Base!B6</f>
        <v>44319</v>
      </c>
      <c r="D3" s="195"/>
      <c r="E3" s="195"/>
      <c r="F3" s="195"/>
      <c r="G3" s="195"/>
      <c r="H3" s="195"/>
      <c r="I3" s="195"/>
      <c r="J3" s="196"/>
      <c r="K3" s="194">
        <f>C3+1</f>
        <v>44320</v>
      </c>
      <c r="L3" s="195"/>
      <c r="M3" s="195"/>
      <c r="N3" s="195"/>
      <c r="O3" s="196"/>
      <c r="P3" s="194">
        <f>K3+1</f>
        <v>44321</v>
      </c>
      <c r="Q3" s="195"/>
      <c r="R3" s="195"/>
      <c r="S3" s="195"/>
      <c r="T3" s="195"/>
      <c r="U3" s="195"/>
      <c r="V3" s="195"/>
      <c r="W3" s="195"/>
      <c r="X3" s="196"/>
      <c r="Y3" s="194">
        <f>P3+1</f>
        <v>44322</v>
      </c>
      <c r="Z3" s="195"/>
      <c r="AA3" s="195"/>
      <c r="AB3" s="195"/>
      <c r="AC3" s="195"/>
      <c r="AD3" s="195"/>
      <c r="AE3" s="195"/>
      <c r="AF3" s="196"/>
      <c r="AG3" s="37">
        <f>Y3+1</f>
        <v>44323</v>
      </c>
      <c r="AH3" s="37">
        <f t="shared" ref="AH3:DP3" si="0">AG3+1</f>
        <v>44324</v>
      </c>
      <c r="AI3" s="94">
        <f t="shared" si="0"/>
        <v>44325</v>
      </c>
      <c r="AJ3" s="197">
        <v>44326</v>
      </c>
      <c r="AK3" s="195"/>
      <c r="AL3" s="195"/>
      <c r="AM3" s="195"/>
      <c r="AN3" s="195"/>
      <c r="AO3" s="195"/>
      <c r="AP3" s="195"/>
      <c r="AQ3" s="196"/>
      <c r="AR3" s="194">
        <f>AJ3+1</f>
        <v>44327</v>
      </c>
      <c r="AS3" s="195"/>
      <c r="AT3" s="195"/>
      <c r="AU3" s="195"/>
      <c r="AV3" s="196"/>
      <c r="AW3" s="194">
        <f>AR3+1</f>
        <v>44328</v>
      </c>
      <c r="AX3" s="195"/>
      <c r="AY3" s="195"/>
      <c r="AZ3" s="195"/>
      <c r="BA3" s="195"/>
      <c r="BB3" s="195"/>
      <c r="BC3" s="195"/>
      <c r="BD3" s="195"/>
      <c r="BE3" s="196"/>
      <c r="BF3" s="37">
        <f>AW3+1</f>
        <v>44329</v>
      </c>
      <c r="BG3" s="37">
        <f t="shared" si="0"/>
        <v>44330</v>
      </c>
      <c r="BH3" s="37">
        <f t="shared" si="0"/>
        <v>44331</v>
      </c>
      <c r="BI3" s="178">
        <f t="shared" si="0"/>
        <v>44332</v>
      </c>
      <c r="BJ3" s="197">
        <f>BI3+1</f>
        <v>44333</v>
      </c>
      <c r="BK3" s="195"/>
      <c r="BL3" s="195"/>
      <c r="BM3" s="195"/>
      <c r="BN3" s="195"/>
      <c r="BO3" s="195"/>
      <c r="BP3" s="195"/>
      <c r="BQ3" s="196"/>
      <c r="BR3" s="194">
        <f>BJ3+1</f>
        <v>44334</v>
      </c>
      <c r="BS3" s="195"/>
      <c r="BT3" s="195"/>
      <c r="BU3" s="195"/>
      <c r="BV3" s="196"/>
      <c r="BW3" s="194">
        <f>BR3+1</f>
        <v>44335</v>
      </c>
      <c r="BX3" s="195"/>
      <c r="BY3" s="195"/>
      <c r="BZ3" s="195"/>
      <c r="CA3" s="195"/>
      <c r="CB3" s="195"/>
      <c r="CC3" s="195"/>
      <c r="CD3" s="195"/>
      <c r="CE3" s="196"/>
      <c r="CF3" s="194">
        <f>BW3+1</f>
        <v>44336</v>
      </c>
      <c r="CG3" s="195"/>
      <c r="CH3" s="195"/>
      <c r="CI3" s="195"/>
      <c r="CJ3" s="195"/>
      <c r="CK3" s="195"/>
      <c r="CL3" s="195"/>
      <c r="CM3" s="196"/>
      <c r="CN3" s="37">
        <f>CF3+1</f>
        <v>44337</v>
      </c>
      <c r="CO3" s="37">
        <f t="shared" ref="CO3" si="1">CN3+1</f>
        <v>44338</v>
      </c>
      <c r="CP3" s="94">
        <f t="shared" ref="CP3" si="2">CO3+1</f>
        <v>44339</v>
      </c>
      <c r="CQ3" s="36">
        <f>CP3+1</f>
        <v>44340</v>
      </c>
      <c r="CR3" s="194">
        <f>CQ3+1</f>
        <v>44341</v>
      </c>
      <c r="CS3" s="195"/>
      <c r="CT3" s="195"/>
      <c r="CU3" s="195"/>
      <c r="CV3" s="196"/>
      <c r="CW3" s="194">
        <f>CR3+1</f>
        <v>44342</v>
      </c>
      <c r="CX3" s="195"/>
      <c r="CY3" s="195"/>
      <c r="CZ3" s="195"/>
      <c r="DA3" s="195"/>
      <c r="DB3" s="195"/>
      <c r="DC3" s="195"/>
      <c r="DD3" s="195"/>
      <c r="DE3" s="196"/>
      <c r="DF3" s="194">
        <f>CW3+1</f>
        <v>44343</v>
      </c>
      <c r="DG3" s="195"/>
      <c r="DH3" s="195"/>
      <c r="DI3" s="195"/>
      <c r="DJ3" s="195"/>
      <c r="DK3" s="195"/>
      <c r="DL3" s="195"/>
      <c r="DM3" s="196"/>
      <c r="DN3" s="37">
        <f>DF3+1</f>
        <v>44344</v>
      </c>
      <c r="DO3" s="37">
        <f t="shared" si="0"/>
        <v>44345</v>
      </c>
      <c r="DP3" s="178">
        <f t="shared" si="0"/>
        <v>44346</v>
      </c>
      <c r="DQ3" s="197">
        <f>DP3+1</f>
        <v>44347</v>
      </c>
      <c r="DR3" s="195"/>
      <c r="DS3" s="195"/>
      <c r="DT3" s="195"/>
      <c r="DU3" s="195"/>
      <c r="DV3" s="195"/>
      <c r="DW3" s="195"/>
      <c r="DX3" s="196"/>
      <c r="DY3" s="194">
        <f>DQ3+1</f>
        <v>44348</v>
      </c>
      <c r="DZ3" s="195"/>
      <c r="EA3" s="195"/>
      <c r="EB3" s="195"/>
      <c r="EC3" s="196"/>
      <c r="ED3" s="194">
        <f>DY3+1</f>
        <v>44349</v>
      </c>
      <c r="EE3" s="195"/>
      <c r="EF3" s="195"/>
      <c r="EG3" s="198"/>
      <c r="EH3" s="16"/>
      <c r="EI3" s="16"/>
      <c r="EJ3" s="16"/>
      <c r="EK3" s="16"/>
      <c r="EL3" s="16"/>
      <c r="EM3" s="16"/>
    </row>
    <row r="4" spans="2:143" s="15" customFormat="1" ht="19.5" thickBot="1" x14ac:dyDescent="0.3">
      <c r="B4" s="99" t="s">
        <v>8</v>
      </c>
      <c r="C4" s="191">
        <f>_xlfn.ISOWEEKNUM(AG3)</f>
        <v>18</v>
      </c>
      <c r="D4" s="191"/>
      <c r="E4" s="191"/>
      <c r="F4" s="191"/>
      <c r="G4" s="191"/>
      <c r="H4" s="191"/>
      <c r="I4" s="191"/>
      <c r="J4" s="191"/>
      <c r="K4" s="191"/>
      <c r="L4" s="191"/>
      <c r="M4" s="191"/>
      <c r="N4" s="191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/>
      <c r="AG4" s="191"/>
      <c r="AH4" s="191"/>
      <c r="AI4" s="193"/>
      <c r="AJ4" s="190">
        <f>_xlfn.ISOWEEKNUM(AJ3)</f>
        <v>19</v>
      </c>
      <c r="AK4" s="191"/>
      <c r="AL4" s="191"/>
      <c r="AM4" s="191"/>
      <c r="AN4" s="191"/>
      <c r="AO4" s="191"/>
      <c r="AP4" s="191"/>
      <c r="AQ4" s="191"/>
      <c r="AR4" s="191"/>
      <c r="AS4" s="191"/>
      <c r="AT4" s="191"/>
      <c r="AU4" s="191"/>
      <c r="AV4" s="191"/>
      <c r="AW4" s="191"/>
      <c r="AX4" s="191"/>
      <c r="AY4" s="191"/>
      <c r="AZ4" s="191"/>
      <c r="BA4" s="191"/>
      <c r="BB4" s="191"/>
      <c r="BC4" s="191"/>
      <c r="BD4" s="191"/>
      <c r="BE4" s="191"/>
      <c r="BF4" s="191"/>
      <c r="BG4" s="191"/>
      <c r="BH4" s="191"/>
      <c r="BI4" s="193"/>
      <c r="BJ4" s="191">
        <f>_xlfn.ISOWEEKNUM(BJ3)</f>
        <v>20</v>
      </c>
      <c r="BK4" s="191"/>
      <c r="BL4" s="191"/>
      <c r="BM4" s="191"/>
      <c r="BN4" s="191"/>
      <c r="BO4" s="191"/>
      <c r="BP4" s="191"/>
      <c r="BQ4" s="191"/>
      <c r="BR4" s="191"/>
      <c r="BS4" s="191"/>
      <c r="BT4" s="191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191"/>
      <c r="CO4" s="191"/>
      <c r="CP4" s="193"/>
      <c r="CQ4" s="190">
        <f>_xlfn.ISOWEEKNUM(CQ3)</f>
        <v>21</v>
      </c>
      <c r="CR4" s="191"/>
      <c r="CS4" s="191"/>
      <c r="CT4" s="191"/>
      <c r="CU4" s="191"/>
      <c r="CV4" s="191"/>
      <c r="CW4" s="191"/>
      <c r="CX4" s="191"/>
      <c r="CY4" s="191"/>
      <c r="CZ4" s="191"/>
      <c r="DA4" s="191"/>
      <c r="DB4" s="191"/>
      <c r="DC4" s="191"/>
      <c r="DD4" s="191"/>
      <c r="DE4" s="191"/>
      <c r="DF4" s="191"/>
      <c r="DG4" s="191"/>
      <c r="DH4" s="191"/>
      <c r="DI4" s="191"/>
      <c r="DJ4" s="191"/>
      <c r="DK4" s="191"/>
      <c r="DL4" s="191"/>
      <c r="DM4" s="191"/>
      <c r="DN4" s="191"/>
      <c r="DO4" s="191"/>
      <c r="DP4" s="193"/>
      <c r="DQ4" s="190">
        <f>_xlfn.ISOWEEKNUM(DQ3)</f>
        <v>22</v>
      </c>
      <c r="DR4" s="191"/>
      <c r="DS4" s="191"/>
      <c r="DT4" s="191"/>
      <c r="DU4" s="191"/>
      <c r="DV4" s="191"/>
      <c r="DW4" s="191"/>
      <c r="DX4" s="191"/>
      <c r="DY4" s="191"/>
      <c r="DZ4" s="191"/>
      <c r="EA4" s="191"/>
      <c r="EB4" s="191"/>
      <c r="EC4" s="191"/>
      <c r="ED4" s="191"/>
      <c r="EE4" s="191"/>
      <c r="EF4" s="191"/>
      <c r="EG4" s="192"/>
      <c r="EH4" s="17"/>
      <c r="EI4" s="17"/>
      <c r="EJ4" s="17"/>
      <c r="EK4" s="17"/>
      <c r="EL4" s="17"/>
      <c r="EM4" s="17"/>
    </row>
    <row r="5" spans="2:143" s="13" customFormat="1" ht="15.75" customHeight="1" x14ac:dyDescent="0.25">
      <c r="B5" s="243" t="str">
        <f>Base!H4</f>
        <v>Analyse</v>
      </c>
      <c r="C5" s="27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38"/>
      <c r="DS5" s="38"/>
      <c r="DT5" s="38"/>
      <c r="DU5" s="38"/>
      <c r="DV5" s="38"/>
      <c r="DW5" s="38"/>
      <c r="DX5" s="38"/>
      <c r="DY5" s="38"/>
      <c r="DZ5" s="38"/>
      <c r="EA5" s="38"/>
      <c r="EB5" s="38"/>
      <c r="EC5" s="38"/>
      <c r="ED5" s="38"/>
      <c r="EE5" s="38"/>
      <c r="EF5" s="38"/>
      <c r="EG5" s="39"/>
    </row>
    <row r="6" spans="2:143" s="13" customFormat="1" ht="15.75" customHeight="1" thickBot="1" x14ac:dyDescent="0.3">
      <c r="B6" s="244"/>
      <c r="C6" s="28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  <c r="BZ6" s="40"/>
      <c r="CA6" s="40"/>
      <c r="CB6" s="40"/>
      <c r="CC6" s="40"/>
      <c r="CD6" s="40"/>
      <c r="CE6" s="40"/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40"/>
      <c r="CW6" s="40"/>
      <c r="CX6" s="40"/>
      <c r="CY6" s="40"/>
      <c r="CZ6" s="40"/>
      <c r="DA6" s="40"/>
      <c r="DB6" s="40"/>
      <c r="DC6" s="40"/>
      <c r="DD6" s="40"/>
      <c r="DE6" s="40"/>
      <c r="DF6" s="40"/>
      <c r="DG6" s="40"/>
      <c r="DH6" s="40"/>
      <c r="DI6" s="40"/>
      <c r="DJ6" s="40"/>
      <c r="DK6" s="40"/>
      <c r="DL6" s="40"/>
      <c r="DM6" s="40"/>
      <c r="DN6" s="40"/>
      <c r="DO6" s="40"/>
      <c r="DP6" s="40"/>
      <c r="DQ6" s="40"/>
      <c r="DR6" s="40"/>
      <c r="DS6" s="40"/>
      <c r="DT6" s="40"/>
      <c r="DU6" s="40"/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1"/>
    </row>
    <row r="7" spans="2:143" x14ac:dyDescent="0.25">
      <c r="B7" s="1" t="str">
        <f>Base!I4</f>
        <v>101 planification initiale</v>
      </c>
      <c r="C7" s="68"/>
      <c r="D7" s="43"/>
      <c r="E7" s="212"/>
      <c r="F7" s="212"/>
      <c r="G7" s="43"/>
      <c r="H7" s="43"/>
      <c r="I7" s="43"/>
      <c r="J7" s="43"/>
      <c r="K7" s="43"/>
      <c r="L7" s="43"/>
      <c r="M7" s="43"/>
      <c r="N7" s="43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74"/>
      <c r="AH7" s="75"/>
      <c r="AI7" s="86"/>
      <c r="AJ7" s="68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74"/>
      <c r="BG7" s="74"/>
      <c r="BH7" s="75"/>
      <c r="BI7" s="86"/>
      <c r="BJ7" s="68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74"/>
      <c r="CO7" s="75"/>
      <c r="CP7" s="148"/>
      <c r="CQ7" s="96"/>
      <c r="CR7" s="43"/>
      <c r="CS7" s="43"/>
      <c r="CT7" s="43"/>
      <c r="CU7" s="43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81"/>
      <c r="DO7" s="81"/>
      <c r="DP7" s="91"/>
      <c r="DQ7" s="68"/>
      <c r="DR7" s="43"/>
      <c r="DS7" s="43"/>
      <c r="DT7" s="43"/>
      <c r="DU7" s="43"/>
      <c r="DV7" s="43"/>
      <c r="DW7" s="43"/>
      <c r="DX7" s="43"/>
      <c r="DY7" s="43"/>
      <c r="DZ7" s="43"/>
      <c r="EA7" s="43"/>
      <c r="EB7" s="43"/>
      <c r="EC7" s="42"/>
      <c r="ED7" s="42"/>
      <c r="EE7" s="42"/>
      <c r="EF7" s="42"/>
      <c r="EG7" s="64"/>
    </row>
    <row r="8" spans="2:143" x14ac:dyDescent="0.25">
      <c r="B8" s="1" t="str">
        <f>Base!I5</f>
        <v>102 objectifs du projet</v>
      </c>
      <c r="C8" s="68"/>
      <c r="D8" s="43"/>
      <c r="E8" s="43"/>
      <c r="F8" s="43"/>
      <c r="G8" s="212"/>
      <c r="H8" s="212"/>
      <c r="I8" s="43"/>
      <c r="J8" s="43"/>
      <c r="K8" s="43"/>
      <c r="L8" s="43"/>
      <c r="M8" s="43"/>
      <c r="N8" s="43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74"/>
      <c r="AH8" s="75"/>
      <c r="AI8" s="86"/>
      <c r="AJ8" s="68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74"/>
      <c r="BG8" s="74"/>
      <c r="BH8" s="75"/>
      <c r="BI8" s="86"/>
      <c r="BJ8" s="68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74"/>
      <c r="CO8" s="75"/>
      <c r="CP8" s="148"/>
      <c r="CQ8" s="96"/>
      <c r="CR8" s="43"/>
      <c r="CS8" s="43"/>
      <c r="CT8" s="43"/>
      <c r="CU8" s="43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81"/>
      <c r="DO8" s="81"/>
      <c r="DP8" s="91"/>
      <c r="DQ8" s="68"/>
      <c r="DR8" s="43"/>
      <c r="DS8" s="43"/>
      <c r="DT8" s="43"/>
      <c r="DU8" s="43"/>
      <c r="DV8" s="43"/>
      <c r="DW8" s="43"/>
      <c r="DX8" s="43"/>
      <c r="DY8" s="43"/>
      <c r="DZ8" s="43"/>
      <c r="EA8" s="43"/>
      <c r="EB8" s="43"/>
      <c r="EC8" s="42"/>
      <c r="ED8" s="42"/>
      <c r="EE8" s="42"/>
      <c r="EF8" s="42"/>
      <c r="EG8" s="64"/>
    </row>
    <row r="9" spans="2:143" x14ac:dyDescent="0.25">
      <c r="B9" s="1" t="str">
        <f>Base!I6</f>
        <v>103 introduction du projet</v>
      </c>
      <c r="C9" s="68"/>
      <c r="D9" s="43"/>
      <c r="E9" s="43"/>
      <c r="F9" s="43"/>
      <c r="G9" s="43"/>
      <c r="H9" s="212"/>
      <c r="I9" s="212"/>
      <c r="J9" s="43"/>
      <c r="K9" s="43"/>
      <c r="L9" s="43"/>
      <c r="M9" s="43"/>
      <c r="N9" s="43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74"/>
      <c r="AH9" s="75"/>
      <c r="AI9" s="86"/>
      <c r="AJ9" s="68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74"/>
      <c r="BG9" s="74"/>
      <c r="BH9" s="75"/>
      <c r="BI9" s="86"/>
      <c r="BJ9" s="68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74"/>
      <c r="CO9" s="75"/>
      <c r="CP9" s="148"/>
      <c r="CQ9" s="96"/>
      <c r="CR9" s="43"/>
      <c r="CS9" s="43"/>
      <c r="CT9" s="43"/>
      <c r="CU9" s="43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81"/>
      <c r="DO9" s="81"/>
      <c r="DP9" s="91"/>
      <c r="DQ9" s="68"/>
      <c r="DR9" s="43"/>
      <c r="DS9" s="43"/>
      <c r="DT9" s="43"/>
      <c r="DU9" s="43"/>
      <c r="DV9" s="43"/>
      <c r="DW9" s="43"/>
      <c r="DX9" s="43"/>
      <c r="DY9" s="43"/>
      <c r="DZ9" s="43"/>
      <c r="EA9" s="43"/>
      <c r="EB9" s="43"/>
      <c r="EC9" s="42"/>
      <c r="ED9" s="42"/>
      <c r="EE9" s="42"/>
      <c r="EF9" s="42"/>
      <c r="EG9" s="64"/>
    </row>
    <row r="10" spans="2:143" ht="30" x14ac:dyDescent="0.25">
      <c r="B10" s="1" t="str">
        <f>Base!I7</f>
        <v>104 découpage du projet en tâches distinctes</v>
      </c>
      <c r="C10" s="68"/>
      <c r="D10" s="212"/>
      <c r="E10" s="212"/>
      <c r="F10" s="43"/>
      <c r="G10" s="43"/>
      <c r="H10" s="43"/>
      <c r="I10" s="43"/>
      <c r="J10" s="43"/>
      <c r="K10" s="43"/>
      <c r="L10" s="43"/>
      <c r="M10" s="43"/>
      <c r="N10" s="43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74"/>
      <c r="AH10" s="75"/>
      <c r="AI10" s="86"/>
      <c r="AJ10" s="68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74"/>
      <c r="BG10" s="74"/>
      <c r="BH10" s="75"/>
      <c r="BI10" s="86"/>
      <c r="BJ10" s="68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74"/>
      <c r="CO10" s="75"/>
      <c r="CP10" s="148"/>
      <c r="CQ10" s="96"/>
      <c r="CR10" s="43"/>
      <c r="CS10" s="43"/>
      <c r="CT10" s="43"/>
      <c r="CU10" s="43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81"/>
      <c r="DO10" s="81"/>
      <c r="DP10" s="91"/>
      <c r="DQ10" s="68"/>
      <c r="DR10" s="43"/>
      <c r="DS10" s="43"/>
      <c r="DT10" s="43"/>
      <c r="DU10" s="43"/>
      <c r="DV10" s="43"/>
      <c r="DW10" s="43"/>
      <c r="DX10" s="43"/>
      <c r="DY10" s="43"/>
      <c r="DZ10" s="43"/>
      <c r="EA10" s="43"/>
      <c r="EB10" s="43"/>
      <c r="EC10" s="42"/>
      <c r="ED10" s="42"/>
      <c r="EE10" s="42"/>
      <c r="EF10" s="42"/>
      <c r="EG10" s="64"/>
    </row>
    <row r="11" spans="2:143" x14ac:dyDescent="0.25">
      <c r="B11" s="1" t="str">
        <f>Base!I8</f>
        <v>105 -</v>
      </c>
      <c r="C11" s="68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74"/>
      <c r="AH11" s="75"/>
      <c r="AI11" s="86"/>
      <c r="AJ11" s="68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74"/>
      <c r="BG11" s="74"/>
      <c r="BH11" s="75"/>
      <c r="BI11" s="86"/>
      <c r="BJ11" s="68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74"/>
      <c r="CO11" s="75"/>
      <c r="CP11" s="148"/>
      <c r="CQ11" s="96"/>
      <c r="CR11" s="43"/>
      <c r="CS11" s="43"/>
      <c r="CT11" s="43"/>
      <c r="CU11" s="43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81"/>
      <c r="DO11" s="81"/>
      <c r="DP11" s="91"/>
      <c r="DQ11" s="68"/>
      <c r="DR11" s="43"/>
      <c r="DS11" s="43"/>
      <c r="DT11" s="43"/>
      <c r="DU11" s="43"/>
      <c r="DV11" s="43"/>
      <c r="DW11" s="43"/>
      <c r="DX11" s="43"/>
      <c r="DY11" s="43"/>
      <c r="DZ11" s="43"/>
      <c r="EA11" s="43"/>
      <c r="EB11" s="43"/>
      <c r="EC11" s="42"/>
      <c r="ED11" s="42"/>
      <c r="EE11" s="42"/>
      <c r="EF11" s="42"/>
      <c r="EG11" s="64"/>
    </row>
    <row r="12" spans="2:143" ht="15" customHeight="1" thickBot="1" x14ac:dyDescent="0.3">
      <c r="B12" s="1" t="str">
        <f>Base!I9</f>
        <v>106 -</v>
      </c>
      <c r="C12" s="70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76"/>
      <c r="AH12" s="77"/>
      <c r="AI12" s="87"/>
      <c r="AJ12" s="70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76"/>
      <c r="BG12" s="76"/>
      <c r="BH12" s="77"/>
      <c r="BI12" s="87"/>
      <c r="BJ12" s="69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78"/>
      <c r="CO12" s="79"/>
      <c r="CP12" s="149"/>
      <c r="CQ12" s="97"/>
      <c r="CR12" s="45"/>
      <c r="CS12" s="45"/>
      <c r="CT12" s="45"/>
      <c r="CU12" s="45"/>
      <c r="CV12" s="44"/>
      <c r="CW12" s="44"/>
      <c r="CX12" s="44"/>
      <c r="CY12" s="44"/>
      <c r="CZ12" s="44"/>
      <c r="DA12" s="44"/>
      <c r="DB12" s="44"/>
      <c r="DC12" s="44"/>
      <c r="DD12" s="44"/>
      <c r="DE12" s="44"/>
      <c r="DF12" s="44"/>
      <c r="DG12" s="44"/>
      <c r="DH12" s="44"/>
      <c r="DI12" s="44"/>
      <c r="DJ12" s="44"/>
      <c r="DK12" s="44"/>
      <c r="DL12" s="44"/>
      <c r="DM12" s="44"/>
      <c r="DN12" s="82"/>
      <c r="DO12" s="82"/>
      <c r="DP12" s="92"/>
      <c r="DQ12" s="70"/>
      <c r="DR12" s="45"/>
      <c r="DS12" s="45"/>
      <c r="DT12" s="45"/>
      <c r="DU12" s="45"/>
      <c r="DV12" s="45"/>
      <c r="DW12" s="45"/>
      <c r="DX12" s="45"/>
      <c r="DY12" s="45"/>
      <c r="DZ12" s="45"/>
      <c r="EA12" s="45"/>
      <c r="EB12" s="45"/>
      <c r="EC12" s="44"/>
      <c r="ED12" s="44"/>
      <c r="EE12" s="44"/>
      <c r="EF12" s="44"/>
      <c r="EG12" s="65"/>
    </row>
    <row r="13" spans="2:143" ht="15" customHeight="1" x14ac:dyDescent="0.25">
      <c r="B13" s="245" t="str">
        <f>Base!H10</f>
        <v>Conception</v>
      </c>
      <c r="C13" s="25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84"/>
      <c r="AG13" s="84"/>
      <c r="AH13" s="84"/>
      <c r="AI13" s="84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84"/>
      <c r="BG13" s="84"/>
      <c r="BH13" s="84"/>
      <c r="BI13" s="84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84"/>
      <c r="CN13" s="84"/>
      <c r="CO13" s="84"/>
      <c r="CP13" s="84"/>
      <c r="CQ13" s="84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84"/>
      <c r="DN13" s="84"/>
      <c r="DO13" s="84"/>
      <c r="DP13" s="84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140"/>
    </row>
    <row r="14" spans="2:143" ht="15" customHeight="1" thickBot="1" x14ac:dyDescent="0.3">
      <c r="B14" s="246"/>
      <c r="C14" s="26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85"/>
      <c r="AG14" s="85"/>
      <c r="AH14" s="85"/>
      <c r="AI14" s="85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85"/>
      <c r="BG14" s="85"/>
      <c r="BH14" s="85"/>
      <c r="BI14" s="85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85"/>
      <c r="CN14" s="85"/>
      <c r="CO14" s="85"/>
      <c r="CP14" s="85"/>
      <c r="CQ14" s="85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85"/>
      <c r="DN14" s="85"/>
      <c r="DO14" s="85"/>
      <c r="DP14" s="85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141"/>
    </row>
    <row r="15" spans="2:143" ht="15" customHeight="1" x14ac:dyDescent="0.25">
      <c r="B15" s="1" t="str">
        <f>Base!I10</f>
        <v>201 choix de l'architecture</v>
      </c>
      <c r="C15" s="71"/>
      <c r="D15" s="49"/>
      <c r="E15" s="49"/>
      <c r="F15" s="49"/>
      <c r="G15" s="49"/>
      <c r="H15" s="49"/>
      <c r="I15" s="49"/>
      <c r="J15" s="214"/>
      <c r="K15" s="49"/>
      <c r="L15" s="49"/>
      <c r="M15" s="49"/>
      <c r="N15" s="49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  <c r="AG15" s="73"/>
      <c r="AH15" s="72"/>
      <c r="AI15" s="88"/>
      <c r="AJ15" s="71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73"/>
      <c r="BG15" s="73"/>
      <c r="BH15" s="72"/>
      <c r="BI15" s="88"/>
      <c r="BJ15" s="142"/>
      <c r="BK15" s="143"/>
      <c r="BL15" s="143"/>
      <c r="BM15" s="143"/>
      <c r="BN15" s="143"/>
      <c r="BO15" s="143"/>
      <c r="BP15" s="143"/>
      <c r="BQ15" s="143"/>
      <c r="BR15" s="143"/>
      <c r="BS15" s="143"/>
      <c r="BT15" s="143"/>
      <c r="BU15" s="143"/>
      <c r="BV15" s="144"/>
      <c r="BW15" s="144"/>
      <c r="BX15" s="144"/>
      <c r="BY15" s="144"/>
      <c r="BZ15" s="144"/>
      <c r="CA15" s="144"/>
      <c r="CB15" s="144"/>
      <c r="CC15" s="144"/>
      <c r="CD15" s="144"/>
      <c r="CE15" s="144"/>
      <c r="CF15" s="144"/>
      <c r="CG15" s="144"/>
      <c r="CH15" s="144"/>
      <c r="CI15" s="144"/>
      <c r="CJ15" s="144"/>
      <c r="CK15" s="144"/>
      <c r="CL15" s="144"/>
      <c r="CM15" s="144"/>
      <c r="CN15" s="145"/>
      <c r="CO15" s="146"/>
      <c r="CP15" s="147"/>
      <c r="CQ15" s="95"/>
      <c r="CR15" s="49"/>
      <c r="CS15" s="49"/>
      <c r="CT15" s="49"/>
      <c r="CU15" s="49"/>
      <c r="CV15" s="48"/>
      <c r="CW15" s="48"/>
      <c r="CX15" s="48"/>
      <c r="CY15" s="48"/>
      <c r="CZ15" s="48"/>
      <c r="DA15" s="48"/>
      <c r="DB15" s="48"/>
      <c r="DC15" s="48"/>
      <c r="DD15" s="48"/>
      <c r="DE15" s="48"/>
      <c r="DF15" s="48"/>
      <c r="DG15" s="48"/>
      <c r="DH15" s="48"/>
      <c r="DI15" s="48"/>
      <c r="DJ15" s="48"/>
      <c r="DK15" s="48"/>
      <c r="DL15" s="48"/>
      <c r="DM15" s="48"/>
      <c r="DN15" s="80"/>
      <c r="DO15" s="80"/>
      <c r="DP15" s="90"/>
      <c r="DQ15" s="71"/>
      <c r="DR15" s="49"/>
      <c r="DS15" s="49"/>
      <c r="DT15" s="49"/>
      <c r="DU15" s="49"/>
      <c r="DV15" s="49"/>
      <c r="DW15" s="49"/>
      <c r="DX15" s="49"/>
      <c r="DY15" s="49"/>
      <c r="DZ15" s="49"/>
      <c r="EA15" s="49"/>
      <c r="EB15" s="49"/>
      <c r="EC15" s="48"/>
      <c r="ED15" s="48"/>
      <c r="EE15" s="48"/>
      <c r="EF15" s="48"/>
      <c r="EG15" s="66"/>
    </row>
    <row r="16" spans="2:143" ht="15" customHeight="1" x14ac:dyDescent="0.25">
      <c r="B16" s="1" t="str">
        <f>Base!I11</f>
        <v>202 modélisation conceptuelle de la BDD</v>
      </c>
      <c r="C16" s="71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8"/>
      <c r="P16" s="48"/>
      <c r="Q16" s="230"/>
      <c r="R16" s="230"/>
      <c r="S16" s="230"/>
      <c r="T16" s="230"/>
      <c r="U16" s="230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73"/>
      <c r="AH16" s="72"/>
      <c r="AI16" s="88"/>
      <c r="AJ16" s="71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48"/>
      <c r="AW16" s="48"/>
      <c r="AX16" s="48"/>
      <c r="AY16" s="48"/>
      <c r="AZ16" s="48"/>
      <c r="BA16" s="48"/>
      <c r="BB16" s="48"/>
      <c r="BC16" s="48"/>
      <c r="BD16" s="48"/>
      <c r="BE16" s="48"/>
      <c r="BF16" s="73"/>
      <c r="BG16" s="73"/>
      <c r="BH16" s="72"/>
      <c r="BI16" s="88"/>
      <c r="BJ16" s="71"/>
      <c r="BK16" s="49"/>
      <c r="BL16" s="49"/>
      <c r="BM16" s="49"/>
      <c r="BN16" s="49"/>
      <c r="BO16" s="49"/>
      <c r="BP16" s="49"/>
      <c r="BQ16" s="49"/>
      <c r="BR16" s="49"/>
      <c r="BS16" s="49"/>
      <c r="BT16" s="49"/>
      <c r="BU16" s="49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8"/>
      <c r="CJ16" s="48"/>
      <c r="CK16" s="48"/>
      <c r="CL16" s="48"/>
      <c r="CM16" s="48"/>
      <c r="CN16" s="73"/>
      <c r="CO16" s="72"/>
      <c r="CP16" s="158"/>
      <c r="CQ16" s="95"/>
      <c r="CR16" s="49"/>
      <c r="CS16" s="49"/>
      <c r="CT16" s="49"/>
      <c r="CU16" s="49"/>
      <c r="CV16" s="48"/>
      <c r="CW16" s="48"/>
      <c r="CX16" s="48"/>
      <c r="CY16" s="48"/>
      <c r="CZ16" s="48"/>
      <c r="DA16" s="48"/>
      <c r="DB16" s="48"/>
      <c r="DC16" s="48"/>
      <c r="DD16" s="48"/>
      <c r="DE16" s="48"/>
      <c r="DF16" s="48"/>
      <c r="DG16" s="48"/>
      <c r="DH16" s="48"/>
      <c r="DI16" s="48"/>
      <c r="DJ16" s="48"/>
      <c r="DK16" s="48"/>
      <c r="DL16" s="48"/>
      <c r="DM16" s="48"/>
      <c r="DN16" s="80"/>
      <c r="DO16" s="80"/>
      <c r="DP16" s="90"/>
      <c r="DQ16" s="71"/>
      <c r="DR16" s="49"/>
      <c r="DS16" s="49"/>
      <c r="DT16" s="49"/>
      <c r="DU16" s="49"/>
      <c r="DV16" s="49"/>
      <c r="DW16" s="49"/>
      <c r="DX16" s="49"/>
      <c r="DY16" s="49"/>
      <c r="DZ16" s="49"/>
      <c r="EA16" s="49"/>
      <c r="EB16" s="49"/>
      <c r="EC16" s="48"/>
      <c r="ED16" s="48"/>
      <c r="EE16" s="48"/>
      <c r="EF16" s="48"/>
      <c r="EG16" s="66"/>
    </row>
    <row r="17" spans="2:137" ht="15" customHeight="1" x14ac:dyDescent="0.25">
      <c r="B17" s="1" t="str">
        <f>Base!I12</f>
        <v>203 modélisation logique de la BDD</v>
      </c>
      <c r="C17" s="71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8"/>
      <c r="P17" s="48"/>
      <c r="Q17" s="48"/>
      <c r="R17" s="48"/>
      <c r="S17" s="48"/>
      <c r="T17" s="48"/>
      <c r="U17" s="230"/>
      <c r="V17" s="230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73"/>
      <c r="AH17" s="72"/>
      <c r="AI17" s="88"/>
      <c r="AJ17" s="71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73"/>
      <c r="BG17" s="73"/>
      <c r="BH17" s="72"/>
      <c r="BI17" s="88"/>
      <c r="BJ17" s="71"/>
      <c r="BK17" s="49"/>
      <c r="BL17" s="49"/>
      <c r="BM17" s="49"/>
      <c r="BN17" s="49"/>
      <c r="BO17" s="49"/>
      <c r="BP17" s="49"/>
      <c r="BQ17" s="49"/>
      <c r="BR17" s="49"/>
      <c r="BS17" s="49"/>
      <c r="BT17" s="49"/>
      <c r="BU17" s="49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8"/>
      <c r="CJ17" s="48"/>
      <c r="CK17" s="48"/>
      <c r="CL17" s="48"/>
      <c r="CM17" s="48"/>
      <c r="CN17" s="73"/>
      <c r="CO17" s="72"/>
      <c r="CP17" s="158"/>
      <c r="CQ17" s="95"/>
      <c r="CR17" s="49"/>
      <c r="CS17" s="49"/>
      <c r="CT17" s="49"/>
      <c r="CU17" s="49"/>
      <c r="CV17" s="48"/>
      <c r="CW17" s="48"/>
      <c r="CX17" s="48"/>
      <c r="CY17" s="48"/>
      <c r="CZ17" s="48"/>
      <c r="DA17" s="48"/>
      <c r="DB17" s="48"/>
      <c r="DC17" s="48"/>
      <c r="DD17" s="48"/>
      <c r="DE17" s="48"/>
      <c r="DF17" s="48"/>
      <c r="DG17" s="48"/>
      <c r="DH17" s="48"/>
      <c r="DI17" s="48"/>
      <c r="DJ17" s="48"/>
      <c r="DK17" s="48"/>
      <c r="DL17" s="48"/>
      <c r="DM17" s="48"/>
      <c r="DN17" s="80"/>
      <c r="DO17" s="80"/>
      <c r="DP17" s="90"/>
      <c r="DQ17" s="71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8"/>
      <c r="ED17" s="48"/>
      <c r="EE17" s="48"/>
      <c r="EF17" s="48"/>
      <c r="EG17" s="66"/>
    </row>
    <row r="18" spans="2:137" ht="15" customHeight="1" x14ac:dyDescent="0.25">
      <c r="B18" s="1" t="str">
        <f>Base!I13</f>
        <v>204 maquettes de l'application</v>
      </c>
      <c r="C18" s="71"/>
      <c r="D18" s="49"/>
      <c r="E18" s="49"/>
      <c r="F18" s="49"/>
      <c r="G18" s="49"/>
      <c r="H18" s="49"/>
      <c r="I18" s="49"/>
      <c r="J18" s="49"/>
      <c r="K18" s="49"/>
      <c r="L18" s="49"/>
      <c r="M18" s="214"/>
      <c r="N18" s="214"/>
      <c r="O18" s="230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73"/>
      <c r="AH18" s="72"/>
      <c r="AI18" s="88"/>
      <c r="AJ18" s="71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8"/>
      <c r="AW18" s="48"/>
      <c r="AX18" s="48"/>
      <c r="AY18" s="48"/>
      <c r="AZ18" s="48"/>
      <c r="BA18" s="48"/>
      <c r="BB18" s="48"/>
      <c r="BC18" s="48"/>
      <c r="BD18" s="48"/>
      <c r="BE18" s="48"/>
      <c r="BF18" s="73"/>
      <c r="BG18" s="73"/>
      <c r="BH18" s="72"/>
      <c r="BI18" s="88"/>
      <c r="BJ18" s="71"/>
      <c r="BK18" s="49"/>
      <c r="BL18" s="49"/>
      <c r="BM18" s="49"/>
      <c r="BN18" s="49"/>
      <c r="BO18" s="49"/>
      <c r="BP18" s="49"/>
      <c r="BQ18" s="49"/>
      <c r="BR18" s="49"/>
      <c r="BS18" s="49"/>
      <c r="BT18" s="49"/>
      <c r="BU18" s="49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8"/>
      <c r="CJ18" s="48"/>
      <c r="CK18" s="48"/>
      <c r="CL18" s="48"/>
      <c r="CM18" s="48"/>
      <c r="CN18" s="73"/>
      <c r="CO18" s="72"/>
      <c r="CP18" s="158"/>
      <c r="CQ18" s="95"/>
      <c r="CR18" s="49"/>
      <c r="CS18" s="49"/>
      <c r="CT18" s="49"/>
      <c r="CU18" s="49"/>
      <c r="CV18" s="48"/>
      <c r="CW18" s="48"/>
      <c r="CX18" s="48"/>
      <c r="CY18" s="48"/>
      <c r="CZ18" s="48"/>
      <c r="DA18" s="48"/>
      <c r="DB18" s="48"/>
      <c r="DC18" s="48"/>
      <c r="DD18" s="48"/>
      <c r="DE18" s="48"/>
      <c r="DF18" s="48"/>
      <c r="DG18" s="48"/>
      <c r="DH18" s="48"/>
      <c r="DI18" s="48"/>
      <c r="DJ18" s="48"/>
      <c r="DK18" s="48"/>
      <c r="DL18" s="48"/>
      <c r="DM18" s="48"/>
      <c r="DN18" s="80"/>
      <c r="DO18" s="80"/>
      <c r="DP18" s="90"/>
      <c r="DQ18" s="71"/>
      <c r="DR18" s="49"/>
      <c r="DS18" s="49"/>
      <c r="DT18" s="49"/>
      <c r="DU18" s="49"/>
      <c r="DV18" s="49"/>
      <c r="DW18" s="49"/>
      <c r="DX18" s="49"/>
      <c r="DY18" s="49"/>
      <c r="DZ18" s="49"/>
      <c r="EA18" s="49"/>
      <c r="EB18" s="49"/>
      <c r="EC18" s="48"/>
      <c r="ED18" s="48"/>
      <c r="EE18" s="48"/>
      <c r="EF18" s="48"/>
      <c r="EG18" s="66"/>
    </row>
    <row r="19" spans="2:137" ht="15" customHeight="1" x14ac:dyDescent="0.25">
      <c r="B19" s="1" t="str">
        <f>Base!I14</f>
        <v>205 diagrammes de flux</v>
      </c>
      <c r="C19" s="71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230"/>
      <c r="Z19" s="48"/>
      <c r="AA19" s="48"/>
      <c r="AB19" s="48"/>
      <c r="AC19" s="48"/>
      <c r="AD19" s="48"/>
      <c r="AE19" s="48"/>
      <c r="AF19" s="48"/>
      <c r="AG19" s="73"/>
      <c r="AH19" s="72"/>
      <c r="AI19" s="88"/>
      <c r="AJ19" s="71"/>
      <c r="AK19" s="49"/>
      <c r="AL19" s="49"/>
      <c r="AM19" s="49"/>
      <c r="AN19" s="49"/>
      <c r="AO19" s="49"/>
      <c r="AP19" s="49"/>
      <c r="AQ19" s="49"/>
      <c r="AR19" s="49"/>
      <c r="AS19" s="49"/>
      <c r="AT19" s="49"/>
      <c r="AU19" s="49"/>
      <c r="AV19" s="48"/>
      <c r="AW19" s="48"/>
      <c r="AX19" s="48"/>
      <c r="AY19" s="48"/>
      <c r="AZ19" s="48"/>
      <c r="BA19" s="48"/>
      <c r="BB19" s="48"/>
      <c r="BC19" s="48"/>
      <c r="BD19" s="48"/>
      <c r="BE19" s="48"/>
      <c r="BF19" s="73"/>
      <c r="BG19" s="73"/>
      <c r="BH19" s="72"/>
      <c r="BI19" s="88"/>
      <c r="BJ19" s="71"/>
      <c r="BK19" s="49"/>
      <c r="BL19" s="49"/>
      <c r="BM19" s="49"/>
      <c r="BN19" s="49"/>
      <c r="BO19" s="49"/>
      <c r="BP19" s="49"/>
      <c r="BQ19" s="49"/>
      <c r="BR19" s="49"/>
      <c r="BS19" s="49"/>
      <c r="BT19" s="49"/>
      <c r="BU19" s="49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8"/>
      <c r="CJ19" s="48"/>
      <c r="CK19" s="48"/>
      <c r="CL19" s="48"/>
      <c r="CM19" s="48"/>
      <c r="CN19" s="73"/>
      <c r="CO19" s="72"/>
      <c r="CP19" s="158"/>
      <c r="CQ19" s="95"/>
      <c r="CR19" s="49"/>
      <c r="CS19" s="49"/>
      <c r="CT19" s="49"/>
      <c r="CU19" s="49"/>
      <c r="CV19" s="48"/>
      <c r="CW19" s="48"/>
      <c r="CX19" s="48"/>
      <c r="CY19" s="48"/>
      <c r="CZ19" s="48"/>
      <c r="DA19" s="48"/>
      <c r="DB19" s="48"/>
      <c r="DC19" s="48"/>
      <c r="DD19" s="48"/>
      <c r="DE19" s="48"/>
      <c r="DF19" s="48"/>
      <c r="DG19" s="48"/>
      <c r="DH19" s="48"/>
      <c r="DI19" s="48"/>
      <c r="DJ19" s="48"/>
      <c r="DK19" s="48"/>
      <c r="DL19" s="48"/>
      <c r="DM19" s="48"/>
      <c r="DN19" s="80"/>
      <c r="DO19" s="80"/>
      <c r="DP19" s="90"/>
      <c r="DQ19" s="71"/>
      <c r="DR19" s="49"/>
      <c r="DS19" s="49"/>
      <c r="DT19" s="49"/>
      <c r="DU19" s="49"/>
      <c r="DV19" s="49"/>
      <c r="DW19" s="49"/>
      <c r="DX19" s="49"/>
      <c r="DY19" s="49"/>
      <c r="DZ19" s="49"/>
      <c r="EA19" s="49"/>
      <c r="EB19" s="49"/>
      <c r="EC19" s="48"/>
      <c r="ED19" s="48"/>
      <c r="EE19" s="48"/>
      <c r="EF19" s="48"/>
      <c r="EG19" s="66"/>
    </row>
    <row r="20" spans="2:137" ht="15" customHeight="1" x14ac:dyDescent="0.25">
      <c r="B20" s="1" t="str">
        <f>Base!I15</f>
        <v>206 cas d'utilisation de l'application</v>
      </c>
      <c r="C20" s="71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  <c r="AA20" s="230"/>
      <c r="AB20" s="48"/>
      <c r="AC20" s="48"/>
      <c r="AD20" s="48"/>
      <c r="AE20" s="48"/>
      <c r="AF20" s="48"/>
      <c r="AG20" s="73"/>
      <c r="AH20" s="72"/>
      <c r="AI20" s="88"/>
      <c r="AJ20" s="71"/>
      <c r="AK20" s="49"/>
      <c r="AL20" s="49"/>
      <c r="AM20" s="49"/>
      <c r="AN20" s="49"/>
      <c r="AO20" s="49"/>
      <c r="AP20" s="49"/>
      <c r="AQ20" s="49"/>
      <c r="AR20" s="49"/>
      <c r="AS20" s="49"/>
      <c r="AT20" s="49"/>
      <c r="AU20" s="49"/>
      <c r="AV20" s="48"/>
      <c r="AW20" s="48"/>
      <c r="AX20" s="48"/>
      <c r="AY20" s="48"/>
      <c r="AZ20" s="48"/>
      <c r="BA20" s="48"/>
      <c r="BB20" s="48"/>
      <c r="BC20" s="48"/>
      <c r="BD20" s="48"/>
      <c r="BE20" s="48"/>
      <c r="BF20" s="73"/>
      <c r="BG20" s="73"/>
      <c r="BH20" s="72"/>
      <c r="BI20" s="88"/>
      <c r="BJ20" s="71"/>
      <c r="BK20" s="49"/>
      <c r="BL20" s="49"/>
      <c r="BM20" s="49"/>
      <c r="BN20" s="49"/>
      <c r="BO20" s="49"/>
      <c r="BP20" s="49"/>
      <c r="BQ20" s="49"/>
      <c r="BR20" s="49"/>
      <c r="BS20" s="49"/>
      <c r="BT20" s="49"/>
      <c r="BU20" s="49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8"/>
      <c r="CJ20" s="48"/>
      <c r="CK20" s="48"/>
      <c r="CL20" s="48"/>
      <c r="CM20" s="48"/>
      <c r="CN20" s="73"/>
      <c r="CO20" s="72"/>
      <c r="CP20" s="158"/>
      <c r="CQ20" s="95"/>
      <c r="CR20" s="49"/>
      <c r="CS20" s="49"/>
      <c r="CT20" s="49"/>
      <c r="CU20" s="49"/>
      <c r="CV20" s="48"/>
      <c r="CW20" s="48"/>
      <c r="CX20" s="48"/>
      <c r="CY20" s="48"/>
      <c r="CZ20" s="48"/>
      <c r="DA20" s="48"/>
      <c r="DB20" s="48"/>
      <c r="DC20" s="48"/>
      <c r="DD20" s="48"/>
      <c r="DE20" s="48"/>
      <c r="DF20" s="48"/>
      <c r="DG20" s="48"/>
      <c r="DH20" s="48"/>
      <c r="DI20" s="48"/>
      <c r="DJ20" s="48"/>
      <c r="DK20" s="48"/>
      <c r="DL20" s="48"/>
      <c r="DM20" s="48"/>
      <c r="DN20" s="80"/>
      <c r="DO20" s="80"/>
      <c r="DP20" s="90"/>
      <c r="DQ20" s="71"/>
      <c r="DR20" s="49"/>
      <c r="DS20" s="49"/>
      <c r="DT20" s="49"/>
      <c r="DU20" s="49"/>
      <c r="DV20" s="49"/>
      <c r="DW20" s="49"/>
      <c r="DX20" s="49"/>
      <c r="DY20" s="49"/>
      <c r="DZ20" s="49"/>
      <c r="EA20" s="49"/>
      <c r="EB20" s="49"/>
      <c r="EC20" s="48"/>
      <c r="ED20" s="48"/>
      <c r="EE20" s="48"/>
      <c r="EF20" s="48"/>
      <c r="EG20" s="66"/>
    </row>
    <row r="21" spans="2:137" ht="15" customHeight="1" x14ac:dyDescent="0.25">
      <c r="B21" s="1" t="str">
        <f>Base!I16</f>
        <v>207 scénarios de l'application</v>
      </c>
      <c r="C21" s="71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230"/>
      <c r="AC21" s="230"/>
      <c r="AD21" s="230"/>
      <c r="AE21" s="230"/>
      <c r="AF21" s="48"/>
      <c r="AG21" s="73"/>
      <c r="AH21" s="72"/>
      <c r="AI21" s="88"/>
      <c r="AJ21" s="71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48"/>
      <c r="AW21" s="48"/>
      <c r="AX21" s="48"/>
      <c r="AY21" s="48"/>
      <c r="AZ21" s="48"/>
      <c r="BA21" s="48"/>
      <c r="BB21" s="48"/>
      <c r="BC21" s="48"/>
      <c r="BD21" s="48"/>
      <c r="BE21" s="48"/>
      <c r="BF21" s="73"/>
      <c r="BG21" s="73"/>
      <c r="BH21" s="72"/>
      <c r="BI21" s="88"/>
      <c r="BJ21" s="71"/>
      <c r="BK21" s="49"/>
      <c r="BL21" s="49"/>
      <c r="BM21" s="49"/>
      <c r="BN21" s="49"/>
      <c r="BO21" s="49"/>
      <c r="BP21" s="49"/>
      <c r="BQ21" s="49"/>
      <c r="BR21" s="49"/>
      <c r="BS21" s="49"/>
      <c r="BT21" s="49"/>
      <c r="BU21" s="49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8"/>
      <c r="CJ21" s="48"/>
      <c r="CK21" s="48"/>
      <c r="CL21" s="48"/>
      <c r="CM21" s="48"/>
      <c r="CN21" s="73"/>
      <c r="CO21" s="72"/>
      <c r="CP21" s="158"/>
      <c r="CQ21" s="95"/>
      <c r="CR21" s="49"/>
      <c r="CS21" s="49"/>
      <c r="CT21" s="49"/>
      <c r="CU21" s="49"/>
      <c r="CV21" s="48"/>
      <c r="CW21" s="48"/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80"/>
      <c r="DO21" s="80"/>
      <c r="DP21" s="90"/>
      <c r="DQ21" s="71"/>
      <c r="DR21" s="49"/>
      <c r="DS21" s="49"/>
      <c r="DT21" s="49"/>
      <c r="DU21" s="49"/>
      <c r="DV21" s="49"/>
      <c r="DW21" s="49"/>
      <c r="DX21" s="49"/>
      <c r="DY21" s="49"/>
      <c r="DZ21" s="49"/>
      <c r="EA21" s="49"/>
      <c r="EB21" s="49"/>
      <c r="EC21" s="48"/>
      <c r="ED21" s="48"/>
      <c r="EE21" s="48"/>
      <c r="EF21" s="48"/>
      <c r="EG21" s="66"/>
    </row>
    <row r="22" spans="2:137" ht="15" customHeight="1" x14ac:dyDescent="0.25">
      <c r="B22" s="1" t="str">
        <f>Base!I17</f>
        <v>208 diagrammes de classe</v>
      </c>
      <c r="C22" s="71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8"/>
      <c r="P22" s="48"/>
      <c r="Q22" s="48"/>
      <c r="R22" s="48"/>
      <c r="S22" s="48"/>
      <c r="T22" s="48"/>
      <c r="U22" s="48"/>
      <c r="V22" s="48"/>
      <c r="W22" s="203"/>
      <c r="X22" s="230"/>
      <c r="Y22" s="48"/>
      <c r="Z22" s="48"/>
      <c r="AA22" s="48"/>
      <c r="AB22" s="48"/>
      <c r="AC22" s="48"/>
      <c r="AD22" s="48"/>
      <c r="AE22" s="48"/>
      <c r="AF22" s="48"/>
      <c r="AG22" s="73"/>
      <c r="AH22" s="72"/>
      <c r="AI22" s="88"/>
      <c r="AJ22" s="71"/>
      <c r="AK22" s="49"/>
      <c r="AL22" s="49"/>
      <c r="AM22" s="49"/>
      <c r="AN22" s="49"/>
      <c r="AO22" s="49"/>
      <c r="AP22" s="49"/>
      <c r="AQ22" s="49"/>
      <c r="AR22" s="49"/>
      <c r="AS22" s="49"/>
      <c r="AT22" s="49"/>
      <c r="AU22" s="49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73"/>
      <c r="BG22" s="73"/>
      <c r="BH22" s="72"/>
      <c r="BI22" s="88"/>
      <c r="BJ22" s="71"/>
      <c r="BK22" s="49"/>
      <c r="BL22" s="49"/>
      <c r="BM22" s="49"/>
      <c r="BN22" s="49"/>
      <c r="BO22" s="49"/>
      <c r="BP22" s="49"/>
      <c r="BQ22" s="49"/>
      <c r="BR22" s="49"/>
      <c r="BS22" s="49"/>
      <c r="BT22" s="49"/>
      <c r="BU22" s="49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8"/>
      <c r="CJ22" s="48"/>
      <c r="CK22" s="48"/>
      <c r="CL22" s="48"/>
      <c r="CM22" s="48"/>
      <c r="CN22" s="73"/>
      <c r="CO22" s="72"/>
      <c r="CP22" s="158"/>
      <c r="CQ22" s="95"/>
      <c r="CR22" s="49"/>
      <c r="CS22" s="49"/>
      <c r="CT22" s="49"/>
      <c r="CU22" s="49"/>
      <c r="CV22" s="48"/>
      <c r="CW22" s="48"/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80"/>
      <c r="DO22" s="80"/>
      <c r="DP22" s="90"/>
      <c r="DQ22" s="71"/>
      <c r="DR22" s="49"/>
      <c r="DS22" s="49"/>
      <c r="DT22" s="49"/>
      <c r="DU22" s="49"/>
      <c r="DV22" s="49"/>
      <c r="DW22" s="49"/>
      <c r="DX22" s="49"/>
      <c r="DY22" s="49"/>
      <c r="DZ22" s="49"/>
      <c r="EA22" s="49"/>
      <c r="EB22" s="49"/>
      <c r="EC22" s="48"/>
      <c r="ED22" s="48"/>
      <c r="EE22" s="48"/>
      <c r="EF22" s="48"/>
      <c r="EG22" s="66"/>
    </row>
    <row r="23" spans="2:137" ht="15" customHeight="1" x14ac:dyDescent="0.25">
      <c r="B23" s="1" t="str">
        <f>Base!I18</f>
        <v>209 schéma de navigation de l'application</v>
      </c>
      <c r="C23" s="71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230"/>
      <c r="AA23" s="48"/>
      <c r="AB23" s="48"/>
      <c r="AC23" s="48"/>
      <c r="AD23" s="48"/>
      <c r="AE23" s="48"/>
      <c r="AF23" s="48"/>
      <c r="AG23" s="73"/>
      <c r="AH23" s="72"/>
      <c r="AI23" s="88"/>
      <c r="AJ23" s="71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  <c r="AV23" s="48"/>
      <c r="AW23" s="48"/>
      <c r="AX23" s="48"/>
      <c r="AY23" s="48"/>
      <c r="AZ23" s="48"/>
      <c r="BA23" s="48"/>
      <c r="BB23" s="48"/>
      <c r="BC23" s="48"/>
      <c r="BD23" s="48"/>
      <c r="BE23" s="48"/>
      <c r="BF23" s="73"/>
      <c r="BG23" s="73"/>
      <c r="BH23" s="72"/>
      <c r="BI23" s="88"/>
      <c r="BJ23" s="71"/>
      <c r="BK23" s="49"/>
      <c r="BL23" s="49"/>
      <c r="BM23" s="49"/>
      <c r="BN23" s="49"/>
      <c r="BO23" s="49"/>
      <c r="BP23" s="49"/>
      <c r="BQ23" s="49"/>
      <c r="BR23" s="49"/>
      <c r="BS23" s="49"/>
      <c r="BT23" s="49"/>
      <c r="BU23" s="49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8"/>
      <c r="CJ23" s="48"/>
      <c r="CK23" s="48"/>
      <c r="CL23" s="48"/>
      <c r="CM23" s="48"/>
      <c r="CN23" s="73"/>
      <c r="CO23" s="72"/>
      <c r="CP23" s="158"/>
      <c r="CQ23" s="95"/>
      <c r="CR23" s="49"/>
      <c r="CS23" s="49"/>
      <c r="CT23" s="49"/>
      <c r="CU23" s="49"/>
      <c r="CV23" s="48"/>
      <c r="CW23" s="48"/>
      <c r="CX23" s="48"/>
      <c r="CY23" s="48"/>
      <c r="CZ23" s="48"/>
      <c r="DA23" s="48"/>
      <c r="DB23" s="48"/>
      <c r="DC23" s="48"/>
      <c r="DD23" s="48"/>
      <c r="DE23" s="48"/>
      <c r="DF23" s="48"/>
      <c r="DG23" s="48"/>
      <c r="DH23" s="48"/>
      <c r="DI23" s="48"/>
      <c r="DJ23" s="48"/>
      <c r="DK23" s="48"/>
      <c r="DL23" s="48"/>
      <c r="DM23" s="48"/>
      <c r="DN23" s="80"/>
      <c r="DO23" s="80"/>
      <c r="DP23" s="90"/>
      <c r="DQ23" s="71"/>
      <c r="DR23" s="49"/>
      <c r="DS23" s="49"/>
      <c r="DT23" s="49"/>
      <c r="DU23" s="49"/>
      <c r="DV23" s="49"/>
      <c r="DW23" s="49"/>
      <c r="DX23" s="49"/>
      <c r="DY23" s="49"/>
      <c r="DZ23" s="49"/>
      <c r="EA23" s="49"/>
      <c r="EB23" s="49"/>
      <c r="EC23" s="48"/>
      <c r="ED23" s="48"/>
      <c r="EE23" s="48"/>
      <c r="EF23" s="48"/>
      <c r="EG23" s="66"/>
    </row>
    <row r="24" spans="2:137" ht="15" customHeight="1" x14ac:dyDescent="0.25">
      <c r="B24" s="1" t="str">
        <f>Base!I19</f>
        <v>210 fonctionnalités du projet</v>
      </c>
      <c r="C24" s="71"/>
      <c r="D24" s="49"/>
      <c r="E24" s="49"/>
      <c r="F24" s="49"/>
      <c r="G24" s="49"/>
      <c r="H24" s="49"/>
      <c r="I24" s="49"/>
      <c r="J24" s="214"/>
      <c r="K24" s="214"/>
      <c r="L24" s="49"/>
      <c r="M24" s="49"/>
      <c r="N24" s="49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73"/>
      <c r="AH24" s="72"/>
      <c r="AI24" s="88"/>
      <c r="AJ24" s="71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49"/>
      <c r="AV24" s="48"/>
      <c r="AW24" s="48"/>
      <c r="AX24" s="48"/>
      <c r="AY24" s="48"/>
      <c r="AZ24" s="48"/>
      <c r="BA24" s="48"/>
      <c r="BB24" s="48"/>
      <c r="BC24" s="48"/>
      <c r="BD24" s="48"/>
      <c r="BE24" s="48"/>
      <c r="BF24" s="73"/>
      <c r="BG24" s="73"/>
      <c r="BH24" s="72"/>
      <c r="BI24" s="88"/>
      <c r="BJ24" s="71"/>
      <c r="BK24" s="49"/>
      <c r="BL24" s="49"/>
      <c r="BM24" s="49"/>
      <c r="BN24" s="49"/>
      <c r="BO24" s="49"/>
      <c r="BP24" s="49"/>
      <c r="BQ24" s="49"/>
      <c r="BR24" s="49"/>
      <c r="BS24" s="49"/>
      <c r="BT24" s="49"/>
      <c r="BU24" s="49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8"/>
      <c r="CJ24" s="48"/>
      <c r="CK24" s="48"/>
      <c r="CL24" s="48"/>
      <c r="CM24" s="48"/>
      <c r="CN24" s="73"/>
      <c r="CO24" s="72"/>
      <c r="CP24" s="158"/>
      <c r="CQ24" s="95"/>
      <c r="CR24" s="49"/>
      <c r="CS24" s="49"/>
      <c r="CT24" s="49"/>
      <c r="CU24" s="49"/>
      <c r="CV24" s="48"/>
      <c r="CW24" s="48"/>
      <c r="CX24" s="48"/>
      <c r="CY24" s="48"/>
      <c r="CZ24" s="48"/>
      <c r="DA24" s="48"/>
      <c r="DB24" s="48"/>
      <c r="DC24" s="48"/>
      <c r="DD24" s="48"/>
      <c r="DE24" s="48"/>
      <c r="DF24" s="48"/>
      <c r="DG24" s="48"/>
      <c r="DH24" s="48"/>
      <c r="DI24" s="48"/>
      <c r="DJ24" s="48"/>
      <c r="DK24" s="48"/>
      <c r="DL24" s="48"/>
      <c r="DM24" s="48"/>
      <c r="DN24" s="80"/>
      <c r="DO24" s="80"/>
      <c r="DP24" s="90"/>
      <c r="DQ24" s="71"/>
      <c r="DR24" s="49"/>
      <c r="DS24" s="49"/>
      <c r="DT24" s="49"/>
      <c r="DU24" s="49"/>
      <c r="DV24" s="49"/>
      <c r="DW24" s="49"/>
      <c r="DX24" s="49"/>
      <c r="DY24" s="49"/>
      <c r="DZ24" s="49"/>
      <c r="EA24" s="49"/>
      <c r="EB24" s="49"/>
      <c r="EC24" s="48"/>
      <c r="ED24" s="48"/>
      <c r="EE24" s="48"/>
      <c r="EF24" s="48"/>
      <c r="EG24" s="66"/>
    </row>
    <row r="25" spans="2:137" ht="15" customHeight="1" x14ac:dyDescent="0.25">
      <c r="B25" s="1" t="str">
        <f>Base!I20</f>
        <v>211 déclaration du cadre du projet</v>
      </c>
      <c r="C25" s="71"/>
      <c r="D25" s="49"/>
      <c r="E25" s="49"/>
      <c r="F25" s="49"/>
      <c r="G25" s="49"/>
      <c r="H25" s="49"/>
      <c r="I25" s="49"/>
      <c r="J25" s="49"/>
      <c r="K25" s="49"/>
      <c r="L25" s="214"/>
      <c r="M25" s="49"/>
      <c r="N25" s="49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73"/>
      <c r="AH25" s="72"/>
      <c r="AI25" s="88"/>
      <c r="AJ25" s="71"/>
      <c r="AK25" s="49"/>
      <c r="AL25" s="49"/>
      <c r="AM25" s="49"/>
      <c r="AN25" s="49"/>
      <c r="AO25" s="49"/>
      <c r="AP25" s="49"/>
      <c r="AQ25" s="49"/>
      <c r="AR25" s="49"/>
      <c r="AS25" s="49"/>
      <c r="AT25" s="49"/>
      <c r="AU25" s="49"/>
      <c r="AV25" s="48"/>
      <c r="AW25" s="48"/>
      <c r="AX25" s="48"/>
      <c r="AY25" s="48"/>
      <c r="AZ25" s="48"/>
      <c r="BA25" s="48"/>
      <c r="BB25" s="48"/>
      <c r="BC25" s="48"/>
      <c r="BD25" s="48"/>
      <c r="BE25" s="48"/>
      <c r="BF25" s="73"/>
      <c r="BG25" s="73"/>
      <c r="BH25" s="72"/>
      <c r="BI25" s="88"/>
      <c r="BJ25" s="71"/>
      <c r="BK25" s="49"/>
      <c r="BL25" s="49"/>
      <c r="BM25" s="49"/>
      <c r="BN25" s="49"/>
      <c r="BO25" s="49"/>
      <c r="BP25" s="49"/>
      <c r="BQ25" s="49"/>
      <c r="BR25" s="49"/>
      <c r="BS25" s="49"/>
      <c r="BT25" s="49"/>
      <c r="BU25" s="49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8"/>
      <c r="CJ25" s="48"/>
      <c r="CK25" s="48"/>
      <c r="CL25" s="48"/>
      <c r="CM25" s="48"/>
      <c r="CN25" s="73"/>
      <c r="CO25" s="72"/>
      <c r="CP25" s="158"/>
      <c r="CQ25" s="95"/>
      <c r="CR25" s="49"/>
      <c r="CS25" s="49"/>
      <c r="CT25" s="49"/>
      <c r="CU25" s="49"/>
      <c r="CV25" s="48"/>
      <c r="CW25" s="48"/>
      <c r="CX25" s="48"/>
      <c r="CY25" s="48"/>
      <c r="CZ25" s="48"/>
      <c r="DA25" s="48"/>
      <c r="DB25" s="48"/>
      <c r="DC25" s="48"/>
      <c r="DD25" s="48"/>
      <c r="DE25" s="48"/>
      <c r="DF25" s="48"/>
      <c r="DG25" s="48"/>
      <c r="DH25" s="48"/>
      <c r="DI25" s="48"/>
      <c r="DJ25" s="48"/>
      <c r="DK25" s="48"/>
      <c r="DL25" s="48"/>
      <c r="DM25" s="48"/>
      <c r="DN25" s="80"/>
      <c r="DO25" s="80"/>
      <c r="DP25" s="90"/>
      <c r="DQ25" s="71"/>
      <c r="DR25" s="49"/>
      <c r="DS25" s="49"/>
      <c r="DT25" s="49"/>
      <c r="DU25" s="49"/>
      <c r="DV25" s="49"/>
      <c r="DW25" s="49"/>
      <c r="DX25" s="49"/>
      <c r="DY25" s="49"/>
      <c r="DZ25" s="49"/>
      <c r="EA25" s="49"/>
      <c r="EB25" s="49"/>
      <c r="EC25" s="48"/>
      <c r="ED25" s="48"/>
      <c r="EE25" s="48"/>
      <c r="EF25" s="48"/>
      <c r="EG25" s="66"/>
    </row>
    <row r="26" spans="2:137" ht="30" x14ac:dyDescent="0.25">
      <c r="B26" s="1" t="str">
        <f>Base!I21</f>
        <v>212 rédaction des risques techniques détectés</v>
      </c>
      <c r="C26" s="68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2"/>
      <c r="P26" s="42"/>
      <c r="Q26" s="229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74"/>
      <c r="AH26" s="75"/>
      <c r="AI26" s="86"/>
      <c r="AJ26" s="68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74"/>
      <c r="BG26" s="74"/>
      <c r="BH26" s="75"/>
      <c r="BI26" s="86"/>
      <c r="BJ26" s="68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74"/>
      <c r="CO26" s="75"/>
      <c r="CP26" s="148"/>
      <c r="CQ26" s="96"/>
      <c r="CR26" s="43"/>
      <c r="CS26" s="43"/>
      <c r="CT26" s="43"/>
      <c r="CU26" s="43"/>
      <c r="CV26" s="42"/>
      <c r="CW26" s="42"/>
      <c r="CX26" s="42"/>
      <c r="CY26" s="42"/>
      <c r="CZ26" s="42"/>
      <c r="DA26" s="42"/>
      <c r="DB26" s="42"/>
      <c r="DC26" s="42"/>
      <c r="DD26" s="42"/>
      <c r="DE26" s="42"/>
      <c r="DF26" s="42"/>
      <c r="DG26" s="42"/>
      <c r="DH26" s="42"/>
      <c r="DI26" s="42"/>
      <c r="DJ26" s="42"/>
      <c r="DK26" s="42"/>
      <c r="DL26" s="42"/>
      <c r="DM26" s="42"/>
      <c r="DN26" s="81"/>
      <c r="DO26" s="81"/>
      <c r="DP26" s="91"/>
      <c r="DQ26" s="68"/>
      <c r="DR26" s="43"/>
      <c r="DS26" s="43"/>
      <c r="DT26" s="43"/>
      <c r="DU26" s="43"/>
      <c r="DV26" s="43"/>
      <c r="DW26" s="43"/>
      <c r="DX26" s="43"/>
      <c r="DY26" s="43"/>
      <c r="DZ26" s="43"/>
      <c r="EA26" s="43"/>
      <c r="EB26" s="43"/>
      <c r="EC26" s="42"/>
      <c r="ED26" s="42"/>
      <c r="EE26" s="42"/>
      <c r="EF26" s="42"/>
      <c r="EG26" s="64"/>
    </row>
    <row r="27" spans="2:137" x14ac:dyDescent="0.25">
      <c r="B27" s="1" t="str">
        <f>Base!I22</f>
        <v>213 planification définitive</v>
      </c>
      <c r="C27" s="68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229"/>
      <c r="AG27" s="74"/>
      <c r="AH27" s="75"/>
      <c r="AI27" s="86"/>
      <c r="AJ27" s="68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74"/>
      <c r="BG27" s="74"/>
      <c r="BH27" s="75"/>
      <c r="BI27" s="86"/>
      <c r="BJ27" s="68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74"/>
      <c r="CO27" s="75"/>
      <c r="CP27" s="148"/>
      <c r="CQ27" s="96"/>
      <c r="CR27" s="43"/>
      <c r="CS27" s="43"/>
      <c r="CT27" s="43"/>
      <c r="CU27" s="43"/>
      <c r="CV27" s="42"/>
      <c r="CW27" s="42"/>
      <c r="CX27" s="42"/>
      <c r="CY27" s="42"/>
      <c r="CZ27" s="42"/>
      <c r="DA27" s="42"/>
      <c r="DB27" s="42"/>
      <c r="DC27" s="42"/>
      <c r="DD27" s="42"/>
      <c r="DE27" s="42"/>
      <c r="DF27" s="42"/>
      <c r="DG27" s="42"/>
      <c r="DH27" s="42"/>
      <c r="DI27" s="42"/>
      <c r="DJ27" s="42"/>
      <c r="DK27" s="42"/>
      <c r="DL27" s="42"/>
      <c r="DM27" s="42"/>
      <c r="DN27" s="81"/>
      <c r="DO27" s="81"/>
      <c r="DP27" s="91"/>
      <c r="DQ27" s="68"/>
      <c r="DR27" s="43"/>
      <c r="DS27" s="43"/>
      <c r="DT27" s="43"/>
      <c r="DU27" s="43"/>
      <c r="DV27" s="43"/>
      <c r="DW27" s="43"/>
      <c r="DX27" s="43"/>
      <c r="DY27" s="43"/>
      <c r="DZ27" s="43"/>
      <c r="EA27" s="43"/>
      <c r="EB27" s="43"/>
      <c r="EC27" s="42"/>
      <c r="ED27" s="42"/>
      <c r="EE27" s="42"/>
      <c r="EF27" s="42"/>
      <c r="EG27" s="64"/>
    </row>
    <row r="28" spans="2:137" ht="30" x14ac:dyDescent="0.25">
      <c r="B28" s="1" t="str">
        <f>Base!I23</f>
        <v>214 recherche sur l'impression depuis l'application</v>
      </c>
      <c r="C28" s="68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74"/>
      <c r="AH28" s="75"/>
      <c r="AI28" s="86"/>
      <c r="AJ28" s="68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74"/>
      <c r="BG28" s="74"/>
      <c r="BH28" s="75"/>
      <c r="BI28" s="86"/>
      <c r="BJ28" s="68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74"/>
      <c r="CO28" s="75"/>
      <c r="CP28" s="148"/>
      <c r="CQ28" s="96"/>
      <c r="CR28" s="43"/>
      <c r="CS28" s="43"/>
      <c r="CT28" s="43"/>
      <c r="CU28" s="43"/>
      <c r="CV28" s="42"/>
      <c r="CW28" s="42"/>
      <c r="CX28" s="42"/>
      <c r="CY28" s="42"/>
      <c r="CZ28" s="42"/>
      <c r="DA28" s="42"/>
      <c r="DB28" s="42"/>
      <c r="DC28" s="42"/>
      <c r="DD28" s="42"/>
      <c r="DE28" s="42"/>
      <c r="DF28" s="42"/>
      <c r="DG28" s="42"/>
      <c r="DH28" s="42"/>
      <c r="DI28" s="42"/>
      <c r="DJ28" s="42"/>
      <c r="DK28" s="42"/>
      <c r="DL28" s="42"/>
      <c r="DM28" s="42"/>
      <c r="DN28" s="81"/>
      <c r="DO28" s="81"/>
      <c r="DP28" s="91"/>
      <c r="DQ28" s="68"/>
      <c r="DR28" s="43"/>
      <c r="DS28" s="43"/>
      <c r="DT28" s="43"/>
      <c r="DU28" s="43"/>
      <c r="DV28" s="43"/>
      <c r="DW28" s="43"/>
      <c r="DX28" s="43"/>
      <c r="DY28" s="43"/>
      <c r="DZ28" s="43"/>
      <c r="EA28" s="43"/>
      <c r="EB28" s="43"/>
      <c r="EC28" s="42"/>
      <c r="ED28" s="42"/>
      <c r="EE28" s="42"/>
      <c r="EF28" s="42"/>
      <c r="EG28" s="64"/>
    </row>
    <row r="29" spans="2:137" x14ac:dyDescent="0.25">
      <c r="B29" s="1" t="str">
        <f>Base!I24</f>
        <v>215 -</v>
      </c>
      <c r="C29" s="68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74"/>
      <c r="AH29" s="75"/>
      <c r="AI29" s="86"/>
      <c r="AJ29" s="68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74"/>
      <c r="BG29" s="74"/>
      <c r="BH29" s="75"/>
      <c r="BI29" s="86"/>
      <c r="BJ29" s="68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74"/>
      <c r="CO29" s="75"/>
      <c r="CP29" s="148"/>
      <c r="CQ29" s="96"/>
      <c r="CR29" s="43"/>
      <c r="CS29" s="43"/>
      <c r="CT29" s="43"/>
      <c r="CU29" s="43"/>
      <c r="CV29" s="42"/>
      <c r="CW29" s="42"/>
      <c r="CX29" s="42"/>
      <c r="CY29" s="42"/>
      <c r="CZ29" s="42"/>
      <c r="DA29" s="42"/>
      <c r="DB29" s="42"/>
      <c r="DC29" s="42"/>
      <c r="DD29" s="42"/>
      <c r="DE29" s="42"/>
      <c r="DF29" s="42"/>
      <c r="DG29" s="42"/>
      <c r="DH29" s="42"/>
      <c r="DI29" s="42"/>
      <c r="DJ29" s="42"/>
      <c r="DK29" s="42"/>
      <c r="DL29" s="42"/>
      <c r="DM29" s="42"/>
      <c r="DN29" s="81"/>
      <c r="DO29" s="81"/>
      <c r="DP29" s="91"/>
      <c r="DQ29" s="68"/>
      <c r="DR29" s="43"/>
      <c r="DS29" s="43"/>
      <c r="DT29" s="43"/>
      <c r="DU29" s="43"/>
      <c r="DV29" s="43"/>
      <c r="DW29" s="43"/>
      <c r="DX29" s="43"/>
      <c r="DY29" s="43"/>
      <c r="DZ29" s="43"/>
      <c r="EA29" s="43"/>
      <c r="EB29" s="43"/>
      <c r="EC29" s="42"/>
      <c r="ED29" s="42"/>
      <c r="EE29" s="42"/>
      <c r="EF29" s="42"/>
      <c r="EG29" s="64"/>
    </row>
    <row r="30" spans="2:137" ht="15.75" thickBot="1" x14ac:dyDescent="0.3">
      <c r="B30" s="1" t="str">
        <f>Base!I25</f>
        <v>216 -</v>
      </c>
      <c r="C30" s="70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76"/>
      <c r="AH30" s="77"/>
      <c r="AI30" s="87"/>
      <c r="AJ30" s="70"/>
      <c r="AK30" s="45"/>
      <c r="AL30" s="45"/>
      <c r="AM30" s="45"/>
      <c r="AN30" s="45"/>
      <c r="AO30" s="45"/>
      <c r="AP30" s="45"/>
      <c r="AQ30" s="45"/>
      <c r="AR30" s="45"/>
      <c r="AS30" s="45"/>
      <c r="AT30" s="45"/>
      <c r="AU30" s="45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76"/>
      <c r="BG30" s="76"/>
      <c r="BH30" s="77"/>
      <c r="BI30" s="87"/>
      <c r="BJ30" s="69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2"/>
      <c r="BW30" s="62"/>
      <c r="BX30" s="62"/>
      <c r="BY30" s="62"/>
      <c r="BZ30" s="62"/>
      <c r="CA30" s="62"/>
      <c r="CB30" s="62"/>
      <c r="CC30" s="62"/>
      <c r="CD30" s="62"/>
      <c r="CE30" s="62"/>
      <c r="CF30" s="62"/>
      <c r="CG30" s="62"/>
      <c r="CH30" s="62"/>
      <c r="CI30" s="62"/>
      <c r="CJ30" s="62"/>
      <c r="CK30" s="62"/>
      <c r="CL30" s="62"/>
      <c r="CM30" s="62"/>
      <c r="CN30" s="78"/>
      <c r="CO30" s="79"/>
      <c r="CP30" s="149"/>
      <c r="CQ30" s="97"/>
      <c r="CR30" s="45"/>
      <c r="CS30" s="45"/>
      <c r="CT30" s="45"/>
      <c r="CU30" s="45"/>
      <c r="CV30" s="44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44"/>
      <c r="DH30" s="44"/>
      <c r="DI30" s="44"/>
      <c r="DJ30" s="44"/>
      <c r="DK30" s="44"/>
      <c r="DL30" s="44"/>
      <c r="DM30" s="44"/>
      <c r="DN30" s="82"/>
      <c r="DO30" s="82"/>
      <c r="DP30" s="92"/>
      <c r="DQ30" s="70"/>
      <c r="DR30" s="45"/>
      <c r="DS30" s="45"/>
      <c r="DT30" s="45"/>
      <c r="DU30" s="45"/>
      <c r="DV30" s="45"/>
      <c r="DW30" s="45"/>
      <c r="DX30" s="45"/>
      <c r="DY30" s="45"/>
      <c r="DZ30" s="45"/>
      <c r="EA30" s="45"/>
      <c r="EB30" s="45"/>
      <c r="EC30" s="44"/>
      <c r="ED30" s="44"/>
      <c r="EE30" s="44"/>
      <c r="EF30" s="44"/>
      <c r="EG30" s="65"/>
    </row>
    <row r="31" spans="2:137" ht="15" customHeight="1" x14ac:dyDescent="0.25">
      <c r="B31" s="247" t="str">
        <f>Base!H26</f>
        <v>Implémentation</v>
      </c>
      <c r="C31" s="29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0"/>
      <c r="CA31" s="50"/>
      <c r="CB31" s="50"/>
      <c r="CC31" s="50"/>
      <c r="CD31" s="50"/>
      <c r="CE31" s="50"/>
      <c r="CF31" s="50"/>
      <c r="CG31" s="50"/>
      <c r="CH31" s="50"/>
      <c r="CI31" s="50"/>
      <c r="CJ31" s="50"/>
      <c r="CK31" s="50"/>
      <c r="CL31" s="50"/>
      <c r="CM31" s="50"/>
      <c r="CN31" s="50"/>
      <c r="CO31" s="50"/>
      <c r="CP31" s="50"/>
      <c r="CQ31" s="50"/>
      <c r="CR31" s="50"/>
      <c r="CS31" s="50"/>
      <c r="CT31" s="50"/>
      <c r="CU31" s="50"/>
      <c r="CV31" s="50"/>
      <c r="CW31" s="50"/>
      <c r="CX31" s="50"/>
      <c r="CY31" s="50"/>
      <c r="CZ31" s="50"/>
      <c r="DA31" s="50"/>
      <c r="DB31" s="50"/>
      <c r="DC31" s="50"/>
      <c r="DD31" s="50"/>
      <c r="DE31" s="50"/>
      <c r="DF31" s="50"/>
      <c r="DG31" s="50"/>
      <c r="DH31" s="50"/>
      <c r="DI31" s="50"/>
      <c r="DJ31" s="50"/>
      <c r="DK31" s="50"/>
      <c r="DL31" s="50"/>
      <c r="DM31" s="50"/>
      <c r="DN31" s="50"/>
      <c r="DO31" s="50"/>
      <c r="DP31" s="50"/>
      <c r="DQ31" s="50"/>
      <c r="DR31" s="50"/>
      <c r="DS31" s="50"/>
      <c r="DT31" s="50"/>
      <c r="DU31" s="50"/>
      <c r="DV31" s="50"/>
      <c r="DW31" s="50"/>
      <c r="DX31" s="50"/>
      <c r="DY31" s="50"/>
      <c r="DZ31" s="50"/>
      <c r="EA31" s="50"/>
      <c r="EB31" s="50"/>
      <c r="EC31" s="50"/>
      <c r="ED31" s="50"/>
      <c r="EE31" s="50"/>
      <c r="EF31" s="50"/>
      <c r="EG31" s="51"/>
    </row>
    <row r="32" spans="2:137" ht="15.75" customHeight="1" thickBot="1" x14ac:dyDescent="0.3">
      <c r="B32" s="248"/>
      <c r="C32" s="30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52"/>
      <c r="CC32" s="52"/>
      <c r="CD32" s="52"/>
      <c r="CE32" s="52"/>
      <c r="CF32" s="52"/>
      <c r="CG32" s="52"/>
      <c r="CH32" s="52"/>
      <c r="CI32" s="52"/>
      <c r="CJ32" s="52"/>
      <c r="CK32" s="52"/>
      <c r="CL32" s="52"/>
      <c r="CM32" s="52"/>
      <c r="CN32" s="52"/>
      <c r="CO32" s="52"/>
      <c r="CP32" s="52"/>
      <c r="CQ32" s="52"/>
      <c r="CR32" s="52"/>
      <c r="CS32" s="52"/>
      <c r="CT32" s="52"/>
      <c r="CU32" s="52"/>
      <c r="CV32" s="52"/>
      <c r="CW32" s="52"/>
      <c r="CX32" s="52"/>
      <c r="CY32" s="52"/>
      <c r="CZ32" s="52"/>
      <c r="DA32" s="52"/>
      <c r="DB32" s="52"/>
      <c r="DC32" s="52"/>
      <c r="DD32" s="52"/>
      <c r="DE32" s="52"/>
      <c r="DF32" s="52"/>
      <c r="DG32" s="52"/>
      <c r="DH32" s="52"/>
      <c r="DI32" s="52"/>
      <c r="DJ32" s="52"/>
      <c r="DK32" s="52"/>
      <c r="DL32" s="52"/>
      <c r="DM32" s="52"/>
      <c r="DN32" s="52"/>
      <c r="DO32" s="52"/>
      <c r="DP32" s="52"/>
      <c r="DQ32" s="52"/>
      <c r="DR32" s="52"/>
      <c r="DS32" s="52"/>
      <c r="DT32" s="52"/>
      <c r="DU32" s="52"/>
      <c r="DV32" s="52"/>
      <c r="DW32" s="52"/>
      <c r="DX32" s="52"/>
      <c r="DY32" s="52"/>
      <c r="DZ32" s="52"/>
      <c r="EA32" s="52"/>
      <c r="EB32" s="52"/>
      <c r="EC32" s="52"/>
      <c r="ED32" s="52"/>
      <c r="EE32" s="52"/>
      <c r="EF32" s="52"/>
      <c r="EG32" s="53"/>
    </row>
    <row r="33" spans="2:137" ht="15" customHeight="1" x14ac:dyDescent="0.25">
      <c r="B33" s="1" t="str">
        <f>Base!I26</f>
        <v>300 mise en place de la BDD</v>
      </c>
      <c r="C33" s="71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73"/>
      <c r="AH33" s="72"/>
      <c r="AI33" s="88"/>
      <c r="AJ33" s="233"/>
      <c r="AK33" s="234"/>
      <c r="AL33" s="234"/>
      <c r="AM33" s="143"/>
      <c r="AN33" s="143"/>
      <c r="AO33" s="143"/>
      <c r="AP33" s="143"/>
      <c r="AQ33" s="143"/>
      <c r="AR33" s="143"/>
      <c r="AS33" s="143"/>
      <c r="AT33" s="143"/>
      <c r="AU33" s="143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5"/>
      <c r="BG33" s="145"/>
      <c r="BH33" s="146"/>
      <c r="BI33" s="147"/>
      <c r="BJ33" s="143"/>
      <c r="BK33" s="143"/>
      <c r="BL33" s="143"/>
      <c r="BM33" s="143"/>
      <c r="BN33" s="143"/>
      <c r="BO33" s="143"/>
      <c r="BP33" s="143"/>
      <c r="BQ33" s="143"/>
      <c r="BR33" s="143"/>
      <c r="BS33" s="143"/>
      <c r="BT33" s="143"/>
      <c r="BU33" s="143"/>
      <c r="BV33" s="144"/>
      <c r="BW33" s="144"/>
      <c r="BX33" s="144"/>
      <c r="BY33" s="144"/>
      <c r="BZ33" s="144"/>
      <c r="CA33" s="144"/>
      <c r="CB33" s="144"/>
      <c r="CC33" s="144"/>
      <c r="CD33" s="144"/>
      <c r="CE33" s="144"/>
      <c r="CF33" s="144"/>
      <c r="CG33" s="144"/>
      <c r="CH33" s="144"/>
      <c r="CI33" s="144"/>
      <c r="CJ33" s="144"/>
      <c r="CK33" s="144"/>
      <c r="CL33" s="144"/>
      <c r="CM33" s="144"/>
      <c r="CN33" s="145"/>
      <c r="CO33" s="146"/>
      <c r="CP33" s="147"/>
      <c r="CQ33" s="95"/>
      <c r="CR33" s="49"/>
      <c r="CS33" s="49"/>
      <c r="CT33" s="49"/>
      <c r="CU33" s="49"/>
      <c r="CV33" s="48"/>
      <c r="CW33" s="48"/>
      <c r="CX33" s="48"/>
      <c r="CY33" s="48"/>
      <c r="CZ33" s="48"/>
      <c r="DA33" s="48"/>
      <c r="DB33" s="48"/>
      <c r="DC33" s="48"/>
      <c r="DD33" s="48"/>
      <c r="DE33" s="48"/>
      <c r="DF33" s="48"/>
      <c r="DG33" s="48"/>
      <c r="DH33" s="48"/>
      <c r="DI33" s="48"/>
      <c r="DJ33" s="48"/>
      <c r="DK33" s="48"/>
      <c r="DL33" s="48"/>
      <c r="DM33" s="48"/>
      <c r="DN33" s="80"/>
      <c r="DO33" s="80"/>
      <c r="DP33" s="90"/>
      <c r="DQ33" s="71"/>
      <c r="DR33" s="49"/>
      <c r="DS33" s="49"/>
      <c r="DT33" s="49"/>
      <c r="DU33" s="49"/>
      <c r="DV33" s="49"/>
      <c r="DW33" s="49"/>
      <c r="DX33" s="49"/>
      <c r="DY33" s="49"/>
      <c r="DZ33" s="49"/>
      <c r="EA33" s="49"/>
      <c r="EB33" s="49"/>
      <c r="EC33" s="48"/>
      <c r="ED33" s="48"/>
      <c r="EE33" s="48"/>
      <c r="EF33" s="48"/>
      <c r="EG33" s="66"/>
    </row>
    <row r="34" spans="2:137" ht="15" customHeight="1" x14ac:dyDescent="0.25">
      <c r="B34" s="1" t="str">
        <f>Base!I27</f>
        <v>301 réaliser la partie graphique de l'application</v>
      </c>
      <c r="C34" s="71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73"/>
      <c r="AH34" s="72"/>
      <c r="AI34" s="88"/>
      <c r="AJ34" s="71"/>
      <c r="AK34" s="49"/>
      <c r="AL34" s="49"/>
      <c r="AM34" s="231"/>
      <c r="AN34" s="231"/>
      <c r="AO34" s="231"/>
      <c r="AP34" s="231"/>
      <c r="AQ34" s="49"/>
      <c r="AR34" s="49"/>
      <c r="AS34" s="49"/>
      <c r="AT34" s="49"/>
      <c r="AU34" s="49"/>
      <c r="AV34" s="48"/>
      <c r="AW34" s="48"/>
      <c r="AX34" s="48"/>
      <c r="AY34" s="48"/>
      <c r="AZ34" s="48"/>
      <c r="BA34" s="48"/>
      <c r="BB34" s="48"/>
      <c r="BC34" s="48"/>
      <c r="BD34" s="48"/>
      <c r="BE34" s="48"/>
      <c r="BF34" s="73"/>
      <c r="BG34" s="73"/>
      <c r="BH34" s="72"/>
      <c r="BI34" s="158"/>
      <c r="BJ34" s="49"/>
      <c r="BK34" s="49"/>
      <c r="BL34" s="49"/>
      <c r="BM34" s="49"/>
      <c r="BN34" s="49"/>
      <c r="BO34" s="49"/>
      <c r="BP34" s="49"/>
      <c r="BQ34" s="49"/>
      <c r="BR34" s="49"/>
      <c r="BS34" s="49"/>
      <c r="BT34" s="49"/>
      <c r="BU34" s="49"/>
      <c r="BV34" s="48"/>
      <c r="BW34" s="48"/>
      <c r="BX34" s="48"/>
      <c r="BY34" s="48"/>
      <c r="BZ34" s="48"/>
      <c r="CA34" s="48"/>
      <c r="CB34" s="48"/>
      <c r="CC34" s="48"/>
      <c r="CD34" s="48"/>
      <c r="CE34" s="48"/>
      <c r="CF34" s="48"/>
      <c r="CG34" s="48"/>
      <c r="CH34" s="48"/>
      <c r="CI34" s="48"/>
      <c r="CJ34" s="48"/>
      <c r="CK34" s="48"/>
      <c r="CL34" s="48"/>
      <c r="CM34" s="48"/>
      <c r="CN34" s="73"/>
      <c r="CO34" s="72"/>
      <c r="CP34" s="158"/>
      <c r="CQ34" s="95"/>
      <c r="CR34" s="49"/>
      <c r="CS34" s="49"/>
      <c r="CT34" s="49"/>
      <c r="CU34" s="49"/>
      <c r="CV34" s="48"/>
      <c r="CW34" s="48"/>
      <c r="CX34" s="48"/>
      <c r="CY34" s="48"/>
      <c r="CZ34" s="48"/>
      <c r="DA34" s="48"/>
      <c r="DB34" s="48"/>
      <c r="DC34" s="48"/>
      <c r="DD34" s="48"/>
      <c r="DE34" s="48"/>
      <c r="DF34" s="48"/>
      <c r="DG34" s="48"/>
      <c r="DH34" s="48"/>
      <c r="DI34" s="48"/>
      <c r="DJ34" s="48"/>
      <c r="DK34" s="48"/>
      <c r="DL34" s="48"/>
      <c r="DM34" s="48"/>
      <c r="DN34" s="80"/>
      <c r="DO34" s="80"/>
      <c r="DP34" s="90"/>
      <c r="DQ34" s="71"/>
      <c r="DR34" s="49"/>
      <c r="DS34" s="49"/>
      <c r="DT34" s="49"/>
      <c r="DU34" s="49"/>
      <c r="DV34" s="49"/>
      <c r="DW34" s="49"/>
      <c r="DX34" s="49"/>
      <c r="DY34" s="49"/>
      <c r="DZ34" s="49"/>
      <c r="EA34" s="49"/>
      <c r="EB34" s="49"/>
      <c r="EC34" s="48"/>
      <c r="ED34" s="48"/>
      <c r="EE34" s="48"/>
      <c r="EF34" s="48"/>
      <c r="EG34" s="66"/>
    </row>
    <row r="35" spans="2:137" ht="15" customHeight="1" x14ac:dyDescent="0.25">
      <c r="B35" s="1" t="str">
        <f>Base!I28</f>
        <v>302 mettre en place la connexion à la BDD</v>
      </c>
      <c r="C35" s="71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73"/>
      <c r="AH35" s="72"/>
      <c r="AI35" s="88"/>
      <c r="AJ35" s="71"/>
      <c r="AK35" s="49"/>
      <c r="AL35" s="49"/>
      <c r="AM35" s="49"/>
      <c r="AN35" s="49"/>
      <c r="AO35" s="49"/>
      <c r="AP35" s="49"/>
      <c r="AQ35" s="231"/>
      <c r="AR35" s="231"/>
      <c r="AS35" s="231"/>
      <c r="AT35" s="49"/>
      <c r="AU35" s="49"/>
      <c r="AV35" s="49"/>
      <c r="AW35" s="49"/>
      <c r="AX35" s="48"/>
      <c r="AY35" s="48"/>
      <c r="AZ35" s="48"/>
      <c r="BA35" s="48"/>
      <c r="BB35" s="48"/>
      <c r="BC35" s="48"/>
      <c r="BD35" s="48"/>
      <c r="BE35" s="48"/>
      <c r="BF35" s="73"/>
      <c r="BG35" s="73"/>
      <c r="BH35" s="72"/>
      <c r="BI35" s="158"/>
      <c r="BJ35" s="49"/>
      <c r="BK35" s="49"/>
      <c r="BL35" s="49"/>
      <c r="BM35" s="49"/>
      <c r="BN35" s="49"/>
      <c r="BO35" s="49"/>
      <c r="BP35" s="49"/>
      <c r="BQ35" s="49"/>
      <c r="BR35" s="49"/>
      <c r="BS35" s="49"/>
      <c r="BT35" s="49"/>
      <c r="BU35" s="49"/>
      <c r="BV35" s="48"/>
      <c r="BW35" s="48"/>
      <c r="BX35" s="48"/>
      <c r="BY35" s="48"/>
      <c r="BZ35" s="48"/>
      <c r="CA35" s="48"/>
      <c r="CB35" s="48"/>
      <c r="CC35" s="48"/>
      <c r="CD35" s="48"/>
      <c r="CE35" s="48"/>
      <c r="CF35" s="48"/>
      <c r="CG35" s="48"/>
      <c r="CH35" s="48"/>
      <c r="CI35" s="48"/>
      <c r="CJ35" s="48"/>
      <c r="CK35" s="48"/>
      <c r="CL35" s="48"/>
      <c r="CM35" s="48"/>
      <c r="CN35" s="73"/>
      <c r="CO35" s="72"/>
      <c r="CP35" s="158"/>
      <c r="CQ35" s="95"/>
      <c r="CR35" s="49"/>
      <c r="CS35" s="49"/>
      <c r="CT35" s="49"/>
      <c r="CU35" s="49"/>
      <c r="CV35" s="48"/>
      <c r="CW35" s="48"/>
      <c r="CX35" s="48"/>
      <c r="CY35" s="48"/>
      <c r="CZ35" s="48"/>
      <c r="DA35" s="48"/>
      <c r="DB35" s="48"/>
      <c r="DC35" s="48"/>
      <c r="DD35" s="48"/>
      <c r="DE35" s="48"/>
      <c r="DF35" s="48"/>
      <c r="DG35" s="48"/>
      <c r="DH35" s="48"/>
      <c r="DI35" s="48"/>
      <c r="DJ35" s="48"/>
      <c r="DK35" s="48"/>
      <c r="DL35" s="48"/>
      <c r="DM35" s="48"/>
      <c r="DN35" s="80"/>
      <c r="DO35" s="80"/>
      <c r="DP35" s="90"/>
      <c r="DQ35" s="71"/>
      <c r="DR35" s="49"/>
      <c r="DS35" s="49"/>
      <c r="DT35" s="49"/>
      <c r="DU35" s="49"/>
      <c r="DV35" s="49"/>
      <c r="DW35" s="49"/>
      <c r="DX35" s="49"/>
      <c r="DY35" s="49"/>
      <c r="DZ35" s="49"/>
      <c r="EA35" s="49"/>
      <c r="EB35" s="49"/>
      <c r="EC35" s="48"/>
      <c r="ED35" s="48"/>
      <c r="EE35" s="48"/>
      <c r="EF35" s="48"/>
      <c r="EG35" s="66"/>
    </row>
    <row r="36" spans="2:137" ht="15" customHeight="1" x14ac:dyDescent="0.25">
      <c r="B36" s="1" t="str">
        <f>Base!I29</f>
        <v>303 mettre en place la classe "bouteille"</v>
      </c>
      <c r="C36" s="71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73"/>
      <c r="AH36" s="72"/>
      <c r="AI36" s="88"/>
      <c r="AJ36" s="71"/>
      <c r="AK36" s="49"/>
      <c r="AL36" s="49"/>
      <c r="AM36" s="49"/>
      <c r="AN36" s="49"/>
      <c r="AO36" s="49"/>
      <c r="AP36" s="49"/>
      <c r="AQ36" s="49"/>
      <c r="AR36" s="49"/>
      <c r="AS36" s="49"/>
      <c r="AT36" s="231"/>
      <c r="AU36" s="231"/>
      <c r="AV36" s="231"/>
      <c r="AW36" s="49"/>
      <c r="AX36" s="48"/>
      <c r="AY36" s="48"/>
      <c r="AZ36" s="48"/>
      <c r="BA36" s="48"/>
      <c r="BB36" s="48"/>
      <c r="BC36" s="48"/>
      <c r="BD36" s="48"/>
      <c r="BE36" s="48"/>
      <c r="BF36" s="73"/>
      <c r="BG36" s="73"/>
      <c r="BH36" s="72"/>
      <c r="BI36" s="158"/>
      <c r="BJ36" s="49"/>
      <c r="BK36" s="49"/>
      <c r="BL36" s="49"/>
      <c r="BM36" s="49"/>
      <c r="BN36" s="49"/>
      <c r="BO36" s="49"/>
      <c r="BP36" s="49"/>
      <c r="BQ36" s="49"/>
      <c r="BR36" s="49"/>
      <c r="BS36" s="49"/>
      <c r="BT36" s="49"/>
      <c r="BU36" s="49"/>
      <c r="BV36" s="48"/>
      <c r="BW36" s="48"/>
      <c r="BX36" s="48"/>
      <c r="BY36" s="48"/>
      <c r="BZ36" s="48"/>
      <c r="CA36" s="48"/>
      <c r="CB36" s="48"/>
      <c r="CC36" s="48"/>
      <c r="CD36" s="48"/>
      <c r="CE36" s="48"/>
      <c r="CF36" s="48"/>
      <c r="CG36" s="48"/>
      <c r="CH36" s="48"/>
      <c r="CI36" s="48"/>
      <c r="CJ36" s="48"/>
      <c r="CK36" s="48"/>
      <c r="CL36" s="48"/>
      <c r="CM36" s="48"/>
      <c r="CN36" s="73"/>
      <c r="CO36" s="72"/>
      <c r="CP36" s="158"/>
      <c r="CQ36" s="95"/>
      <c r="CR36" s="49"/>
      <c r="CS36" s="49"/>
      <c r="CT36" s="49"/>
      <c r="CU36" s="49"/>
      <c r="CV36" s="48"/>
      <c r="CW36" s="48"/>
      <c r="CX36" s="48"/>
      <c r="CY36" s="48"/>
      <c r="CZ36" s="48"/>
      <c r="DA36" s="48"/>
      <c r="DB36" s="48"/>
      <c r="DC36" s="48"/>
      <c r="DD36" s="48"/>
      <c r="DE36" s="48"/>
      <c r="DF36" s="48"/>
      <c r="DG36" s="48"/>
      <c r="DH36" s="48"/>
      <c r="DI36" s="48"/>
      <c r="DJ36" s="48"/>
      <c r="DK36" s="48"/>
      <c r="DL36" s="48"/>
      <c r="DM36" s="48"/>
      <c r="DN36" s="80"/>
      <c r="DO36" s="80"/>
      <c r="DP36" s="90"/>
      <c r="DQ36" s="71"/>
      <c r="DR36" s="49"/>
      <c r="DS36" s="49"/>
      <c r="DT36" s="49"/>
      <c r="DU36" s="49"/>
      <c r="DV36" s="49"/>
      <c r="DW36" s="49"/>
      <c r="DX36" s="49"/>
      <c r="DY36" s="49"/>
      <c r="DZ36" s="49"/>
      <c r="EA36" s="49"/>
      <c r="EB36" s="49"/>
      <c r="EC36" s="48"/>
      <c r="ED36" s="48"/>
      <c r="EE36" s="48"/>
      <c r="EF36" s="48"/>
      <c r="EG36" s="66"/>
    </row>
    <row r="37" spans="2:137" ht="15" customHeight="1" x14ac:dyDescent="0.25">
      <c r="B37" s="1" t="str">
        <f>Base!I30</f>
        <v>304 mettre en place la classe "casier"</v>
      </c>
      <c r="C37" s="71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73"/>
      <c r="AH37" s="72"/>
      <c r="AI37" s="88"/>
      <c r="AJ37" s="71"/>
      <c r="AK37" s="49"/>
      <c r="AL37" s="49"/>
      <c r="AM37" s="49"/>
      <c r="AN37" s="49"/>
      <c r="AO37" s="49"/>
      <c r="AP37" s="49"/>
      <c r="AQ37" s="49"/>
      <c r="AR37" s="49"/>
      <c r="AS37" s="49"/>
      <c r="AT37" s="49"/>
      <c r="AU37" s="49"/>
      <c r="AV37" s="49"/>
      <c r="AW37" s="231"/>
      <c r="AX37" s="232"/>
      <c r="AY37" s="232"/>
      <c r="AZ37" s="48"/>
      <c r="BA37" s="48"/>
      <c r="BB37" s="48"/>
      <c r="BC37" s="48"/>
      <c r="BD37" s="48"/>
      <c r="BE37" s="48"/>
      <c r="BF37" s="73"/>
      <c r="BG37" s="73"/>
      <c r="BH37" s="72"/>
      <c r="BI37" s="158"/>
      <c r="BJ37" s="49"/>
      <c r="BK37" s="49"/>
      <c r="BL37" s="49"/>
      <c r="BM37" s="49"/>
      <c r="BN37" s="49"/>
      <c r="BO37" s="49"/>
      <c r="BP37" s="49"/>
      <c r="BQ37" s="49"/>
      <c r="BR37" s="49"/>
      <c r="BS37" s="49"/>
      <c r="BT37" s="49"/>
      <c r="BU37" s="49"/>
      <c r="BV37" s="48"/>
      <c r="BW37" s="48"/>
      <c r="BX37" s="48"/>
      <c r="BY37" s="48"/>
      <c r="BZ37" s="48"/>
      <c r="CA37" s="48"/>
      <c r="CB37" s="48"/>
      <c r="CC37" s="48"/>
      <c r="CD37" s="48"/>
      <c r="CE37" s="48"/>
      <c r="CF37" s="48"/>
      <c r="CG37" s="48"/>
      <c r="CH37" s="48"/>
      <c r="CI37" s="48"/>
      <c r="CJ37" s="48"/>
      <c r="CK37" s="48"/>
      <c r="CL37" s="48"/>
      <c r="CM37" s="48"/>
      <c r="CN37" s="73"/>
      <c r="CO37" s="72"/>
      <c r="CP37" s="158"/>
      <c r="CQ37" s="95"/>
      <c r="CR37" s="49"/>
      <c r="CS37" s="49"/>
      <c r="CT37" s="49"/>
      <c r="CU37" s="49"/>
      <c r="CV37" s="48"/>
      <c r="CW37" s="48"/>
      <c r="CX37" s="48"/>
      <c r="CY37" s="48"/>
      <c r="CZ37" s="48"/>
      <c r="DA37" s="48"/>
      <c r="DB37" s="48"/>
      <c r="DC37" s="48"/>
      <c r="DD37" s="48"/>
      <c r="DE37" s="48"/>
      <c r="DF37" s="48"/>
      <c r="DG37" s="48"/>
      <c r="DH37" s="48"/>
      <c r="DI37" s="48"/>
      <c r="DJ37" s="48"/>
      <c r="DK37" s="48"/>
      <c r="DL37" s="48"/>
      <c r="DM37" s="48"/>
      <c r="DN37" s="80"/>
      <c r="DO37" s="80"/>
      <c r="DP37" s="90"/>
      <c r="DQ37" s="71"/>
      <c r="DR37" s="49"/>
      <c r="DS37" s="49"/>
      <c r="DT37" s="49"/>
      <c r="DU37" s="49"/>
      <c r="DV37" s="49"/>
      <c r="DW37" s="49"/>
      <c r="DX37" s="49"/>
      <c r="DY37" s="49"/>
      <c r="DZ37" s="49"/>
      <c r="EA37" s="49"/>
      <c r="EB37" s="49"/>
      <c r="EC37" s="48"/>
      <c r="ED37" s="48"/>
      <c r="EE37" s="48"/>
      <c r="EF37" s="48"/>
      <c r="EG37" s="66"/>
    </row>
    <row r="38" spans="2:137" ht="15" customHeight="1" x14ac:dyDescent="0.25">
      <c r="B38" s="1" t="str">
        <f>Base!I31</f>
        <v>305 implémenter l'ajout de bouteilles</v>
      </c>
      <c r="C38" s="71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73"/>
      <c r="AH38" s="72"/>
      <c r="AI38" s="88"/>
      <c r="AJ38" s="71"/>
      <c r="AK38" s="49"/>
      <c r="AL38" s="49"/>
      <c r="AM38" s="49"/>
      <c r="AN38" s="49"/>
      <c r="AO38" s="49"/>
      <c r="AP38" s="49"/>
      <c r="AQ38" s="49"/>
      <c r="AR38" s="49"/>
      <c r="AS38" s="49"/>
      <c r="AT38" s="49"/>
      <c r="AU38" s="49"/>
      <c r="AV38" s="49"/>
      <c r="AW38" s="49"/>
      <c r="AX38" s="48"/>
      <c r="AY38" s="48"/>
      <c r="AZ38" s="48"/>
      <c r="BA38" s="48"/>
      <c r="BB38" s="48"/>
      <c r="BC38" s="48"/>
      <c r="BD38" s="48"/>
      <c r="BE38" s="48"/>
      <c r="BF38" s="73"/>
      <c r="BG38" s="73"/>
      <c r="BH38" s="72"/>
      <c r="BI38" s="158"/>
      <c r="BJ38" s="231"/>
      <c r="BK38" s="231"/>
      <c r="BL38" s="231"/>
      <c r="BM38" s="49"/>
      <c r="BN38" s="49"/>
      <c r="BO38" s="49"/>
      <c r="BP38" s="49"/>
      <c r="BQ38" s="49"/>
      <c r="BR38" s="49"/>
      <c r="BS38" s="49"/>
      <c r="BT38" s="49"/>
      <c r="BU38" s="49"/>
      <c r="BV38" s="48"/>
      <c r="BW38" s="48"/>
      <c r="BX38" s="48"/>
      <c r="BY38" s="48"/>
      <c r="BZ38" s="48"/>
      <c r="CA38" s="48"/>
      <c r="CB38" s="48"/>
      <c r="CC38" s="48"/>
      <c r="CD38" s="48"/>
      <c r="CE38" s="48"/>
      <c r="CF38" s="48"/>
      <c r="CG38" s="48"/>
      <c r="CH38" s="48"/>
      <c r="CI38" s="48"/>
      <c r="CJ38" s="48"/>
      <c r="CK38" s="48"/>
      <c r="CL38" s="48"/>
      <c r="CM38" s="48"/>
      <c r="CN38" s="73"/>
      <c r="CO38" s="72"/>
      <c r="CP38" s="158"/>
      <c r="CQ38" s="95"/>
      <c r="CR38" s="49"/>
      <c r="CS38" s="49"/>
      <c r="CT38" s="49"/>
      <c r="CU38" s="49"/>
      <c r="CV38" s="48"/>
      <c r="CW38" s="48"/>
      <c r="CX38" s="48"/>
      <c r="CY38" s="48"/>
      <c r="CZ38" s="48"/>
      <c r="DA38" s="48"/>
      <c r="DB38" s="48"/>
      <c r="DC38" s="48"/>
      <c r="DD38" s="48"/>
      <c r="DE38" s="48"/>
      <c r="DF38" s="48"/>
      <c r="DG38" s="48"/>
      <c r="DH38" s="48"/>
      <c r="DI38" s="48"/>
      <c r="DJ38" s="48"/>
      <c r="DK38" s="48"/>
      <c r="DL38" s="48"/>
      <c r="DM38" s="48"/>
      <c r="DN38" s="80"/>
      <c r="DO38" s="80"/>
      <c r="DP38" s="90"/>
      <c r="DQ38" s="71"/>
      <c r="DR38" s="49"/>
      <c r="DS38" s="49"/>
      <c r="DT38" s="49"/>
      <c r="DU38" s="49"/>
      <c r="DV38" s="49"/>
      <c r="DW38" s="49"/>
      <c r="DX38" s="49"/>
      <c r="DY38" s="49"/>
      <c r="DZ38" s="49"/>
      <c r="EA38" s="49"/>
      <c r="EB38" s="49"/>
      <c r="EC38" s="48"/>
      <c r="ED38" s="48"/>
      <c r="EE38" s="48"/>
      <c r="EF38" s="48"/>
      <c r="EG38" s="66"/>
    </row>
    <row r="39" spans="2:137" ht="15" customHeight="1" x14ac:dyDescent="0.25">
      <c r="B39" s="1" t="str">
        <f>Base!I32</f>
        <v>306 implémenter le retrait de bouteilles</v>
      </c>
      <c r="C39" s="71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73"/>
      <c r="AH39" s="72"/>
      <c r="AI39" s="88"/>
      <c r="AJ39" s="71"/>
      <c r="AK39" s="49"/>
      <c r="AL39" s="49"/>
      <c r="AM39" s="49"/>
      <c r="AN39" s="49"/>
      <c r="AO39" s="49"/>
      <c r="AP39" s="49"/>
      <c r="AQ39" s="49"/>
      <c r="AR39" s="49"/>
      <c r="AS39" s="49"/>
      <c r="AT39" s="49"/>
      <c r="AU39" s="49"/>
      <c r="AV39" s="48"/>
      <c r="AW39" s="48"/>
      <c r="AX39" s="48"/>
      <c r="AY39" s="48"/>
      <c r="AZ39" s="48"/>
      <c r="BA39" s="48"/>
      <c r="BB39" s="48"/>
      <c r="BC39" s="48"/>
      <c r="BD39" s="48"/>
      <c r="BE39" s="48"/>
      <c r="BF39" s="73"/>
      <c r="BG39" s="73"/>
      <c r="BH39" s="72"/>
      <c r="BI39" s="158"/>
      <c r="BJ39" s="49"/>
      <c r="BK39" s="49"/>
      <c r="BL39" s="48"/>
      <c r="BM39" s="231"/>
      <c r="BN39" s="49"/>
      <c r="BO39" s="48"/>
      <c r="BP39" s="48"/>
      <c r="BQ39" s="48"/>
      <c r="BR39" s="48"/>
      <c r="BS39" s="48"/>
      <c r="BT39" s="48"/>
      <c r="BU39" s="48"/>
      <c r="BV39" s="48"/>
      <c r="BW39" s="48"/>
      <c r="BX39" s="48"/>
      <c r="BY39" s="48"/>
      <c r="BZ39" s="48"/>
      <c r="CA39" s="48"/>
      <c r="CB39" s="48"/>
      <c r="CC39" s="48"/>
      <c r="CD39" s="48"/>
      <c r="CE39" s="48"/>
      <c r="CF39" s="48"/>
      <c r="CG39" s="48"/>
      <c r="CH39" s="48"/>
      <c r="CI39" s="48"/>
      <c r="CJ39" s="48"/>
      <c r="CK39" s="48"/>
      <c r="CL39" s="48"/>
      <c r="CM39" s="48"/>
      <c r="CN39" s="73"/>
      <c r="CO39" s="72"/>
      <c r="CP39" s="158"/>
      <c r="CQ39" s="95"/>
      <c r="CR39" s="49"/>
      <c r="CS39" s="49"/>
      <c r="CT39" s="49"/>
      <c r="CU39" s="49"/>
      <c r="CV39" s="48"/>
      <c r="CW39" s="48"/>
      <c r="CX39" s="48"/>
      <c r="CY39" s="48"/>
      <c r="CZ39" s="48"/>
      <c r="DA39" s="48"/>
      <c r="DB39" s="48"/>
      <c r="DC39" s="48"/>
      <c r="DD39" s="48"/>
      <c r="DE39" s="48"/>
      <c r="DF39" s="48"/>
      <c r="DG39" s="48"/>
      <c r="DH39" s="48"/>
      <c r="DI39" s="48"/>
      <c r="DJ39" s="48"/>
      <c r="DK39" s="48"/>
      <c r="DL39" s="48"/>
      <c r="DM39" s="48"/>
      <c r="DN39" s="80"/>
      <c r="DO39" s="80"/>
      <c r="DP39" s="90"/>
      <c r="DQ39" s="71"/>
      <c r="DR39" s="49"/>
      <c r="DS39" s="49"/>
      <c r="DT39" s="49"/>
      <c r="DU39" s="49"/>
      <c r="DV39" s="49"/>
      <c r="DW39" s="49"/>
      <c r="DX39" s="49"/>
      <c r="DY39" s="49"/>
      <c r="DZ39" s="49"/>
      <c r="EA39" s="49"/>
      <c r="EB39" s="49"/>
      <c r="EC39" s="48"/>
      <c r="ED39" s="48"/>
      <c r="EE39" s="48"/>
      <c r="EF39" s="48"/>
      <c r="EG39" s="66"/>
    </row>
    <row r="40" spans="2:137" ht="15" customHeight="1" x14ac:dyDescent="0.25">
      <c r="B40" s="1" t="str">
        <f>Base!I33</f>
        <v>307 implémenter l'historisation des actions effectuées</v>
      </c>
      <c r="C40" s="71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73"/>
      <c r="AH40" s="72"/>
      <c r="AI40" s="88"/>
      <c r="AJ40" s="71"/>
      <c r="AK40" s="49"/>
      <c r="AL40" s="49"/>
      <c r="AM40" s="49"/>
      <c r="AN40" s="49"/>
      <c r="AO40" s="49"/>
      <c r="AP40" s="49"/>
      <c r="AQ40" s="49"/>
      <c r="AR40" s="49"/>
      <c r="AS40" s="49"/>
      <c r="AT40" s="49"/>
      <c r="AU40" s="49"/>
      <c r="AV40" s="48"/>
      <c r="AW40" s="48"/>
      <c r="AX40" s="48"/>
      <c r="AY40" s="48"/>
      <c r="AZ40" s="48"/>
      <c r="BA40" s="48"/>
      <c r="BB40" s="48"/>
      <c r="BC40" s="48"/>
      <c r="BD40" s="48"/>
      <c r="BE40" s="48"/>
      <c r="BF40" s="73"/>
      <c r="BG40" s="73"/>
      <c r="BH40" s="72"/>
      <c r="BI40" s="158"/>
      <c r="BJ40" s="49"/>
      <c r="BK40" s="49"/>
      <c r="BL40" s="48"/>
      <c r="BM40" s="49"/>
      <c r="BN40" s="49"/>
      <c r="BO40" s="48"/>
      <c r="BP40" s="48"/>
      <c r="BQ40" s="48"/>
      <c r="BR40" s="48"/>
      <c r="BS40" s="48"/>
      <c r="BT40" s="48"/>
      <c r="BU40" s="48"/>
      <c r="BV40" s="48"/>
      <c r="BW40" s="48"/>
      <c r="BX40" s="48"/>
      <c r="BY40" s="49"/>
      <c r="BZ40" s="49"/>
      <c r="CA40" s="49"/>
      <c r="CB40" s="231"/>
      <c r="CC40" s="231"/>
      <c r="CD40" s="231"/>
      <c r="CE40" s="231"/>
      <c r="CF40" s="49"/>
      <c r="CG40" s="49"/>
      <c r="CH40" s="48"/>
      <c r="CI40" s="48"/>
      <c r="CJ40" s="48"/>
      <c r="CK40" s="48"/>
      <c r="CL40" s="48"/>
      <c r="CM40" s="48"/>
      <c r="CN40" s="73"/>
      <c r="CO40" s="72"/>
      <c r="CP40" s="158"/>
      <c r="CQ40" s="95"/>
      <c r="CR40" s="49"/>
      <c r="CS40" s="49"/>
      <c r="CT40" s="49"/>
      <c r="CU40" s="49"/>
      <c r="CV40" s="48"/>
      <c r="CW40" s="48"/>
      <c r="CX40" s="48"/>
      <c r="CY40" s="48"/>
      <c r="CZ40" s="48"/>
      <c r="DA40" s="48"/>
      <c r="DB40" s="48"/>
      <c r="DC40" s="48"/>
      <c r="DD40" s="48"/>
      <c r="DE40" s="48"/>
      <c r="DF40" s="48"/>
      <c r="DG40" s="48"/>
      <c r="DH40" s="48"/>
      <c r="DI40" s="48"/>
      <c r="DJ40" s="48"/>
      <c r="DK40" s="48"/>
      <c r="DL40" s="48"/>
      <c r="DM40" s="48"/>
      <c r="DN40" s="80"/>
      <c r="DO40" s="80"/>
      <c r="DP40" s="90"/>
      <c r="DQ40" s="71"/>
      <c r="DR40" s="49"/>
      <c r="DS40" s="49"/>
      <c r="DT40" s="49"/>
      <c r="DU40" s="49"/>
      <c r="DV40" s="49"/>
      <c r="DW40" s="49"/>
      <c r="DX40" s="49"/>
      <c r="DY40" s="49"/>
      <c r="DZ40" s="49"/>
      <c r="EA40" s="49"/>
      <c r="EB40" s="49"/>
      <c r="EC40" s="48"/>
      <c r="ED40" s="48"/>
      <c r="EE40" s="48"/>
      <c r="EF40" s="48"/>
      <c r="EG40" s="66"/>
    </row>
    <row r="41" spans="2:137" ht="30" x14ac:dyDescent="0.25">
      <c r="B41" s="1" t="str">
        <f>Base!I34</f>
        <v>308 implémenter la recherche par mot-clé</v>
      </c>
      <c r="C41" s="71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73"/>
      <c r="AH41" s="72"/>
      <c r="AI41" s="88"/>
      <c r="AJ41" s="71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8"/>
      <c r="AW41" s="48"/>
      <c r="AX41" s="48"/>
      <c r="AY41" s="48"/>
      <c r="AZ41" s="48"/>
      <c r="BA41" s="48"/>
      <c r="BB41" s="48"/>
      <c r="BC41" s="48"/>
      <c r="BD41" s="48"/>
      <c r="BE41" s="48"/>
      <c r="BF41" s="73"/>
      <c r="BG41" s="73"/>
      <c r="BH41" s="72"/>
      <c r="BI41" s="158"/>
      <c r="BJ41" s="49"/>
      <c r="BK41" s="49"/>
      <c r="BL41" s="48"/>
      <c r="BM41" s="49"/>
      <c r="BN41" s="49"/>
      <c r="BO41" s="48"/>
      <c r="BP41" s="48"/>
      <c r="BQ41" s="232"/>
      <c r="BR41" s="232"/>
      <c r="BS41" s="232"/>
      <c r="BT41" s="48"/>
      <c r="BU41" s="48"/>
      <c r="BV41" s="48"/>
      <c r="BW41" s="48"/>
      <c r="BX41" s="48"/>
      <c r="BY41" s="49"/>
      <c r="BZ41" s="49"/>
      <c r="CA41" s="49"/>
      <c r="CB41" s="49"/>
      <c r="CC41" s="49"/>
      <c r="CD41" s="49"/>
      <c r="CE41" s="49"/>
      <c r="CF41" s="49"/>
      <c r="CG41" s="49"/>
      <c r="CH41" s="48"/>
      <c r="CI41" s="48"/>
      <c r="CJ41" s="48"/>
      <c r="CK41" s="48"/>
      <c r="CL41" s="48"/>
      <c r="CM41" s="48"/>
      <c r="CN41" s="73"/>
      <c r="CO41" s="72"/>
      <c r="CP41" s="158"/>
      <c r="CQ41" s="95"/>
      <c r="CR41" s="49"/>
      <c r="CS41" s="49"/>
      <c r="CT41" s="49"/>
      <c r="CU41" s="49"/>
      <c r="CV41" s="48"/>
      <c r="CW41" s="48"/>
      <c r="CX41" s="48"/>
      <c r="CY41" s="48"/>
      <c r="CZ41" s="48"/>
      <c r="DA41" s="48"/>
      <c r="DB41" s="48"/>
      <c r="DC41" s="48"/>
      <c r="DD41" s="48"/>
      <c r="DE41" s="48"/>
      <c r="DF41" s="48"/>
      <c r="DG41" s="48"/>
      <c r="DH41" s="48"/>
      <c r="DI41" s="48"/>
      <c r="DJ41" s="48"/>
      <c r="DK41" s="48"/>
      <c r="DL41" s="48"/>
      <c r="DM41" s="48"/>
      <c r="DN41" s="80"/>
      <c r="DO41" s="80"/>
      <c r="DP41" s="90"/>
      <c r="DQ41" s="71"/>
      <c r="DR41" s="49"/>
      <c r="DS41" s="49"/>
      <c r="DT41" s="49"/>
      <c r="DU41" s="49"/>
      <c r="DV41" s="49"/>
      <c r="DW41" s="49"/>
      <c r="DX41" s="49"/>
      <c r="DY41" s="49"/>
      <c r="DZ41" s="49"/>
      <c r="EA41" s="49"/>
      <c r="EB41" s="49"/>
      <c r="EC41" s="48"/>
      <c r="ED41" s="48"/>
      <c r="EE41" s="48"/>
      <c r="EF41" s="48"/>
      <c r="EG41" s="66"/>
    </row>
    <row r="42" spans="2:137" ht="30" x14ac:dyDescent="0.25">
      <c r="B42" s="1" t="str">
        <f>Base!I35</f>
        <v>309 implémenter la recherche par couleur de robe</v>
      </c>
      <c r="C42" s="68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74"/>
      <c r="AH42" s="75"/>
      <c r="AI42" s="86"/>
      <c r="AJ42" s="68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74"/>
      <c r="BG42" s="74"/>
      <c r="BH42" s="75"/>
      <c r="BI42" s="148"/>
      <c r="BJ42" s="43"/>
      <c r="BK42" s="43"/>
      <c r="BL42" s="42"/>
      <c r="BM42" s="43"/>
      <c r="BN42" s="43"/>
      <c r="BO42" s="42"/>
      <c r="BP42" s="42"/>
      <c r="BQ42" s="42"/>
      <c r="BR42" s="42"/>
      <c r="BS42" s="42"/>
      <c r="BT42" s="217"/>
      <c r="BU42" s="42"/>
      <c r="BV42" s="42"/>
      <c r="BW42" s="42"/>
      <c r="BX42" s="42"/>
      <c r="BY42" s="43"/>
      <c r="BZ42" s="43"/>
      <c r="CA42" s="43"/>
      <c r="CB42" s="43"/>
      <c r="CC42" s="43"/>
      <c r="CD42" s="43"/>
      <c r="CE42" s="43"/>
      <c r="CF42" s="43"/>
      <c r="CG42" s="43"/>
      <c r="CH42" s="42"/>
      <c r="CI42" s="42"/>
      <c r="CJ42" s="42"/>
      <c r="CK42" s="42"/>
      <c r="CL42" s="42"/>
      <c r="CM42" s="42"/>
      <c r="CN42" s="74"/>
      <c r="CO42" s="75"/>
      <c r="CP42" s="148"/>
      <c r="CQ42" s="96"/>
      <c r="CR42" s="43"/>
      <c r="CS42" s="43"/>
      <c r="CT42" s="43"/>
      <c r="CU42" s="43"/>
      <c r="CV42" s="42"/>
      <c r="CW42" s="42"/>
      <c r="CX42" s="42"/>
      <c r="CY42" s="42"/>
      <c r="CZ42" s="42"/>
      <c r="DA42" s="42"/>
      <c r="DB42" s="42"/>
      <c r="DC42" s="42"/>
      <c r="DD42" s="42"/>
      <c r="DE42" s="42"/>
      <c r="DF42" s="42"/>
      <c r="DG42" s="42"/>
      <c r="DH42" s="42"/>
      <c r="DI42" s="42"/>
      <c r="DJ42" s="42"/>
      <c r="DK42" s="42"/>
      <c r="DL42" s="42"/>
      <c r="DM42" s="42"/>
      <c r="DN42" s="81"/>
      <c r="DO42" s="81"/>
      <c r="DP42" s="91"/>
      <c r="DQ42" s="68"/>
      <c r="DR42" s="43"/>
      <c r="DS42" s="43"/>
      <c r="DT42" s="43"/>
      <c r="DU42" s="43"/>
      <c r="DV42" s="43"/>
      <c r="DW42" s="43"/>
      <c r="DX42" s="43"/>
      <c r="DY42" s="43"/>
      <c r="DZ42" s="43"/>
      <c r="EA42" s="43"/>
      <c r="EB42" s="43"/>
      <c r="EC42" s="42"/>
      <c r="ED42" s="42"/>
      <c r="EE42" s="42"/>
      <c r="EF42" s="42"/>
      <c r="EG42" s="64"/>
    </row>
    <row r="43" spans="2:137" ht="30" x14ac:dyDescent="0.25">
      <c r="B43" s="1" t="str">
        <f>Base!I36</f>
        <v>310 implémenter la recherche par cépage</v>
      </c>
      <c r="C43" s="68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74"/>
      <c r="AH43" s="75"/>
      <c r="AI43" s="86"/>
      <c r="AJ43" s="68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74"/>
      <c r="BG43" s="74"/>
      <c r="BH43" s="75"/>
      <c r="BI43" s="148"/>
      <c r="BJ43" s="43"/>
      <c r="BK43" s="43"/>
      <c r="BL43" s="42"/>
      <c r="BM43" s="43"/>
      <c r="BN43" s="43"/>
      <c r="BO43" s="42"/>
      <c r="BP43" s="42"/>
      <c r="BQ43" s="42"/>
      <c r="BR43" s="42"/>
      <c r="BS43" s="42"/>
      <c r="BT43" s="42"/>
      <c r="BU43" s="217"/>
      <c r="BV43" s="42"/>
      <c r="BW43" s="42"/>
      <c r="BX43" s="42"/>
      <c r="BY43" s="42"/>
      <c r="BZ43" s="43"/>
      <c r="CA43" s="43"/>
      <c r="CB43" s="43"/>
      <c r="CC43" s="43"/>
      <c r="CD43" s="43"/>
      <c r="CE43" s="43"/>
      <c r="CF43" s="43"/>
      <c r="CG43" s="43"/>
      <c r="CH43" s="42"/>
      <c r="CI43" s="42"/>
      <c r="CJ43" s="42"/>
      <c r="CK43" s="42"/>
      <c r="CL43" s="42"/>
      <c r="CM43" s="42"/>
      <c r="CN43" s="74"/>
      <c r="CO43" s="75"/>
      <c r="CP43" s="148"/>
      <c r="CQ43" s="96"/>
      <c r="CR43" s="43"/>
      <c r="CS43" s="43"/>
      <c r="CT43" s="43"/>
      <c r="CU43" s="43"/>
      <c r="CV43" s="42"/>
      <c r="CW43" s="42"/>
      <c r="CX43" s="42"/>
      <c r="CY43" s="42"/>
      <c r="CZ43" s="42"/>
      <c r="DA43" s="42"/>
      <c r="DB43" s="42"/>
      <c r="DC43" s="42"/>
      <c r="DD43" s="42"/>
      <c r="DE43" s="42"/>
      <c r="DF43" s="42"/>
      <c r="DG43" s="42"/>
      <c r="DH43" s="42"/>
      <c r="DI43" s="42"/>
      <c r="DJ43" s="42"/>
      <c r="DK43" s="42"/>
      <c r="DL43" s="42"/>
      <c r="DM43" s="42"/>
      <c r="DN43" s="81"/>
      <c r="DO43" s="81"/>
      <c r="DP43" s="91"/>
      <c r="DQ43" s="68"/>
      <c r="DR43" s="43"/>
      <c r="DS43" s="43"/>
      <c r="DT43" s="43"/>
      <c r="DU43" s="43"/>
      <c r="DV43" s="43"/>
      <c r="DW43" s="43"/>
      <c r="DX43" s="43"/>
      <c r="DY43" s="43"/>
      <c r="DZ43" s="43"/>
      <c r="EA43" s="43"/>
      <c r="EB43" s="43"/>
      <c r="EC43" s="42"/>
      <c r="ED43" s="42"/>
      <c r="EE43" s="42"/>
      <c r="EF43" s="42"/>
      <c r="EG43" s="64"/>
    </row>
    <row r="44" spans="2:137" ht="30" x14ac:dyDescent="0.25">
      <c r="B44" s="1" t="str">
        <f>Base!I37</f>
        <v>311 implémenter la recherche par vigneron</v>
      </c>
      <c r="C44" s="68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74"/>
      <c r="AH44" s="75"/>
      <c r="AI44" s="86"/>
      <c r="AJ44" s="68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74"/>
      <c r="BG44" s="74"/>
      <c r="BH44" s="75"/>
      <c r="BI44" s="148"/>
      <c r="BJ44" s="43"/>
      <c r="BK44" s="43"/>
      <c r="BL44" s="42"/>
      <c r="BM44" s="43"/>
      <c r="BN44" s="43"/>
      <c r="BO44" s="42"/>
      <c r="BP44" s="42"/>
      <c r="BQ44" s="42"/>
      <c r="BR44" s="42"/>
      <c r="BS44" s="42"/>
      <c r="BT44" s="42"/>
      <c r="BU44" s="42"/>
      <c r="BV44" s="217"/>
      <c r="BW44" s="42"/>
      <c r="BX44" s="42"/>
      <c r="BY44" s="42"/>
      <c r="BZ44" s="43"/>
      <c r="CA44" s="43"/>
      <c r="CB44" s="43"/>
      <c r="CC44" s="43"/>
      <c r="CD44" s="43"/>
      <c r="CE44" s="43"/>
      <c r="CF44" s="43"/>
      <c r="CG44" s="43"/>
      <c r="CH44" s="42"/>
      <c r="CI44" s="42"/>
      <c r="CJ44" s="42"/>
      <c r="CK44" s="42"/>
      <c r="CL44" s="42"/>
      <c r="CM44" s="42"/>
      <c r="CN44" s="74"/>
      <c r="CO44" s="75"/>
      <c r="CP44" s="148"/>
      <c r="CQ44" s="96"/>
      <c r="CR44" s="43"/>
      <c r="CS44" s="43"/>
      <c r="CT44" s="43"/>
      <c r="CU44" s="43"/>
      <c r="CV44" s="42"/>
      <c r="CW44" s="42"/>
      <c r="CX44" s="42"/>
      <c r="CY44" s="42"/>
      <c r="CZ44" s="42"/>
      <c r="DA44" s="42"/>
      <c r="DB44" s="42"/>
      <c r="DC44" s="42"/>
      <c r="DD44" s="42"/>
      <c r="DE44" s="42"/>
      <c r="DF44" s="42"/>
      <c r="DG44" s="42"/>
      <c r="DH44" s="42"/>
      <c r="DI44" s="42"/>
      <c r="DJ44" s="42"/>
      <c r="DK44" s="42"/>
      <c r="DL44" s="42"/>
      <c r="DM44" s="42"/>
      <c r="DN44" s="81"/>
      <c r="DO44" s="81"/>
      <c r="DP44" s="91"/>
      <c r="DQ44" s="68"/>
      <c r="DR44" s="43"/>
      <c r="DS44" s="43"/>
      <c r="DT44" s="43"/>
      <c r="DU44" s="43"/>
      <c r="DV44" s="43"/>
      <c r="DW44" s="43"/>
      <c r="DX44" s="43"/>
      <c r="DY44" s="43"/>
      <c r="DZ44" s="43"/>
      <c r="EA44" s="43"/>
      <c r="EB44" s="43"/>
      <c r="EC44" s="42"/>
      <c r="ED44" s="42"/>
      <c r="EE44" s="42"/>
      <c r="EF44" s="42"/>
      <c r="EG44" s="64"/>
    </row>
    <row r="45" spans="2:137" x14ac:dyDescent="0.25">
      <c r="B45" s="1" t="str">
        <f>Base!I38</f>
        <v>312 implémenter la recherche par pays</v>
      </c>
      <c r="C45" s="68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74"/>
      <c r="AH45" s="75"/>
      <c r="AI45" s="86"/>
      <c r="AJ45" s="68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74"/>
      <c r="BG45" s="74"/>
      <c r="BH45" s="75"/>
      <c r="BI45" s="148"/>
      <c r="BJ45" s="43"/>
      <c r="BK45" s="43"/>
      <c r="BL45" s="42"/>
      <c r="BM45" s="43"/>
      <c r="BN45" s="43"/>
      <c r="BO45" s="42"/>
      <c r="BP45" s="42"/>
      <c r="BQ45" s="42"/>
      <c r="BR45" s="42"/>
      <c r="BS45" s="42"/>
      <c r="BT45" s="42"/>
      <c r="BU45" s="42"/>
      <c r="BV45" s="42"/>
      <c r="BW45" s="217"/>
      <c r="BX45" s="42"/>
      <c r="BY45" s="42"/>
      <c r="BZ45" s="42"/>
      <c r="CA45" s="43"/>
      <c r="CB45" s="43"/>
      <c r="CC45" s="43"/>
      <c r="CD45" s="43"/>
      <c r="CE45" s="43"/>
      <c r="CF45" s="43"/>
      <c r="CG45" s="43"/>
      <c r="CH45" s="43"/>
      <c r="CI45" s="42"/>
      <c r="CJ45" s="42"/>
      <c r="CK45" s="42"/>
      <c r="CL45" s="42"/>
      <c r="CM45" s="42"/>
      <c r="CN45" s="74"/>
      <c r="CO45" s="75"/>
      <c r="CP45" s="148"/>
      <c r="CQ45" s="96"/>
      <c r="CR45" s="43"/>
      <c r="CS45" s="43"/>
      <c r="CT45" s="43"/>
      <c r="CU45" s="43"/>
      <c r="CV45" s="42"/>
      <c r="CW45" s="42"/>
      <c r="CX45" s="42"/>
      <c r="CY45" s="42"/>
      <c r="CZ45" s="42"/>
      <c r="DA45" s="42"/>
      <c r="DB45" s="42"/>
      <c r="DC45" s="42"/>
      <c r="DD45" s="42"/>
      <c r="DE45" s="42"/>
      <c r="DF45" s="42"/>
      <c r="DG45" s="42"/>
      <c r="DH45" s="42"/>
      <c r="DI45" s="42"/>
      <c r="DJ45" s="42"/>
      <c r="DK45" s="42"/>
      <c r="DL45" s="42"/>
      <c r="DM45" s="42"/>
      <c r="DN45" s="81"/>
      <c r="DO45" s="81"/>
      <c r="DP45" s="91"/>
      <c r="DQ45" s="68"/>
      <c r="DR45" s="43"/>
      <c r="DS45" s="43"/>
      <c r="DT45" s="43"/>
      <c r="DU45" s="43"/>
      <c r="DV45" s="43"/>
      <c r="DW45" s="43"/>
      <c r="DX45" s="43"/>
      <c r="DY45" s="43"/>
      <c r="DZ45" s="43"/>
      <c r="EA45" s="43"/>
      <c r="EB45" s="43"/>
      <c r="EC45" s="42"/>
      <c r="ED45" s="42"/>
      <c r="EE45" s="42"/>
      <c r="EF45" s="42"/>
      <c r="EG45" s="64"/>
    </row>
    <row r="46" spans="2:137" ht="30" x14ac:dyDescent="0.25">
      <c r="B46" s="1" t="str">
        <f>Base!I39</f>
        <v>313 implémenter l'export d'une liste triée par PDF</v>
      </c>
      <c r="C46" s="68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74"/>
      <c r="AH46" s="75"/>
      <c r="AI46" s="86"/>
      <c r="AJ46" s="68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74"/>
      <c r="BG46" s="74"/>
      <c r="BH46" s="75"/>
      <c r="BI46" s="148"/>
      <c r="BJ46" s="43"/>
      <c r="BK46" s="43"/>
      <c r="BL46" s="42"/>
      <c r="BM46" s="43"/>
      <c r="BN46" s="43"/>
      <c r="BO46" s="42"/>
      <c r="BP46" s="42"/>
      <c r="BQ46" s="42"/>
      <c r="BR46" s="42"/>
      <c r="BS46" s="42"/>
      <c r="BT46" s="42"/>
      <c r="BU46" s="42"/>
      <c r="BV46" s="42"/>
      <c r="BW46" s="42"/>
      <c r="BX46" s="217"/>
      <c r="BY46" s="217"/>
      <c r="BZ46" s="217"/>
      <c r="CA46" s="43"/>
      <c r="CB46" s="43"/>
      <c r="CC46" s="43"/>
      <c r="CD46" s="43"/>
      <c r="CE46" s="43"/>
      <c r="CF46" s="43"/>
      <c r="CG46" s="43"/>
      <c r="CH46" s="43"/>
      <c r="CI46" s="42"/>
      <c r="CJ46" s="42"/>
      <c r="CK46" s="42"/>
      <c r="CL46" s="42"/>
      <c r="CM46" s="42"/>
      <c r="CN46" s="74"/>
      <c r="CO46" s="75"/>
      <c r="CP46" s="148"/>
      <c r="CQ46" s="96"/>
      <c r="CR46" s="43"/>
      <c r="CS46" s="43"/>
      <c r="CT46" s="43"/>
      <c r="CU46" s="43"/>
      <c r="CV46" s="42"/>
      <c r="CW46" s="42"/>
      <c r="CX46" s="42"/>
      <c r="CY46" s="42"/>
      <c r="CZ46" s="42"/>
      <c r="DA46" s="42"/>
      <c r="DB46" s="42"/>
      <c r="DC46" s="42"/>
      <c r="DD46" s="42"/>
      <c r="DE46" s="42"/>
      <c r="DF46" s="42"/>
      <c r="DG46" s="42"/>
      <c r="DH46" s="42"/>
      <c r="DI46" s="42"/>
      <c r="DJ46" s="42"/>
      <c r="DK46" s="42"/>
      <c r="DL46" s="42"/>
      <c r="DM46" s="42"/>
      <c r="DN46" s="81"/>
      <c r="DO46" s="81"/>
      <c r="DP46" s="91"/>
      <c r="DQ46" s="68"/>
      <c r="DR46" s="43"/>
      <c r="DS46" s="43"/>
      <c r="DT46" s="43"/>
      <c r="DU46" s="43"/>
      <c r="DV46" s="43"/>
      <c r="DW46" s="43"/>
      <c r="DX46" s="43"/>
      <c r="DY46" s="43"/>
      <c r="DZ46" s="43"/>
      <c r="EA46" s="43"/>
      <c r="EB46" s="43"/>
      <c r="EC46" s="42"/>
      <c r="ED46" s="42"/>
      <c r="EE46" s="42"/>
      <c r="EF46" s="42"/>
      <c r="EG46" s="64"/>
    </row>
    <row r="47" spans="2:137" x14ac:dyDescent="0.25">
      <c r="B47" s="1" t="str">
        <f>Base!I40</f>
        <v>314 implémenter l'ajout de casiers</v>
      </c>
      <c r="C47" s="68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74"/>
      <c r="AH47" s="75"/>
      <c r="AI47" s="86"/>
      <c r="AJ47" s="68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74"/>
      <c r="BG47" s="74"/>
      <c r="BH47" s="75"/>
      <c r="BI47" s="148"/>
      <c r="BJ47" s="43"/>
      <c r="BK47" s="43"/>
      <c r="BL47" s="42"/>
      <c r="BM47" s="43"/>
      <c r="BN47" s="211"/>
      <c r="BO47" s="217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  <c r="CA47" s="43"/>
      <c r="CB47" s="43"/>
      <c r="CC47" s="43"/>
      <c r="CD47" s="43"/>
      <c r="CE47" s="43"/>
      <c r="CF47" s="43"/>
      <c r="CG47" s="43"/>
      <c r="CH47" s="43"/>
      <c r="CI47" s="42"/>
      <c r="CJ47" s="42"/>
      <c r="CK47" s="42"/>
      <c r="CL47" s="42"/>
      <c r="CM47" s="42"/>
      <c r="CN47" s="74"/>
      <c r="CO47" s="75"/>
      <c r="CP47" s="148"/>
      <c r="CQ47" s="96"/>
      <c r="CR47" s="43"/>
      <c r="CS47" s="43"/>
      <c r="CT47" s="43"/>
      <c r="CU47" s="43"/>
      <c r="CV47" s="42"/>
      <c r="CW47" s="42"/>
      <c r="CX47" s="42"/>
      <c r="CY47" s="42"/>
      <c r="CZ47" s="42"/>
      <c r="DA47" s="42"/>
      <c r="DB47" s="42"/>
      <c r="DC47" s="42"/>
      <c r="DD47" s="42"/>
      <c r="DE47" s="42"/>
      <c r="DF47" s="42"/>
      <c r="DG47" s="42"/>
      <c r="DH47" s="42"/>
      <c r="DI47" s="42"/>
      <c r="DJ47" s="42"/>
      <c r="DK47" s="42"/>
      <c r="DL47" s="42"/>
      <c r="DM47" s="42"/>
      <c r="DN47" s="81"/>
      <c r="DO47" s="81"/>
      <c r="DP47" s="91"/>
      <c r="DQ47" s="68"/>
      <c r="DR47" s="43"/>
      <c r="DS47" s="43"/>
      <c r="DT47" s="43"/>
      <c r="DU47" s="43"/>
      <c r="DV47" s="43"/>
      <c r="DW47" s="43"/>
      <c r="DX47" s="43"/>
      <c r="DY47" s="43"/>
      <c r="DZ47" s="43"/>
      <c r="EA47" s="43"/>
      <c r="EB47" s="43"/>
      <c r="EC47" s="42"/>
      <c r="ED47" s="42"/>
      <c r="EE47" s="42"/>
      <c r="EF47" s="42"/>
      <c r="EG47" s="64"/>
    </row>
    <row r="48" spans="2:137" x14ac:dyDescent="0.25">
      <c r="B48" s="1" t="str">
        <f>Base!I41</f>
        <v>315 implémenter le retrait de casiers</v>
      </c>
      <c r="C48" s="68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74"/>
      <c r="AH48" s="75"/>
      <c r="AI48" s="86"/>
      <c r="AJ48" s="68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74"/>
      <c r="BG48" s="74"/>
      <c r="BH48" s="75"/>
      <c r="BI48" s="148"/>
      <c r="BJ48" s="43"/>
      <c r="BK48" s="43"/>
      <c r="BL48" s="42"/>
      <c r="BM48" s="43"/>
      <c r="BN48" s="43"/>
      <c r="BO48" s="42"/>
      <c r="BP48" s="217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3"/>
      <c r="CB48" s="43"/>
      <c r="CC48" s="43"/>
      <c r="CD48" s="43"/>
      <c r="CE48" s="43"/>
      <c r="CF48" s="43"/>
      <c r="CG48" s="43"/>
      <c r="CH48" s="43"/>
      <c r="CI48" s="42"/>
      <c r="CJ48" s="42"/>
      <c r="CK48" s="42"/>
      <c r="CL48" s="42"/>
      <c r="CM48" s="42"/>
      <c r="CN48" s="74"/>
      <c r="CO48" s="75"/>
      <c r="CP48" s="148"/>
      <c r="CQ48" s="96"/>
      <c r="CR48" s="43"/>
      <c r="CS48" s="43"/>
      <c r="CT48" s="43"/>
      <c r="CU48" s="43"/>
      <c r="CV48" s="42"/>
      <c r="CW48" s="42"/>
      <c r="CX48" s="42"/>
      <c r="CY48" s="42"/>
      <c r="CZ48" s="42"/>
      <c r="DA48" s="42"/>
      <c r="DB48" s="42"/>
      <c r="DC48" s="42"/>
      <c r="DD48" s="42"/>
      <c r="DE48" s="42"/>
      <c r="DF48" s="42"/>
      <c r="DG48" s="42"/>
      <c r="DH48" s="42"/>
      <c r="DI48" s="42"/>
      <c r="DJ48" s="42"/>
      <c r="DK48" s="42"/>
      <c r="DL48" s="42"/>
      <c r="DM48" s="42"/>
      <c r="DN48" s="81"/>
      <c r="DO48" s="81"/>
      <c r="DP48" s="91"/>
      <c r="DQ48" s="68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2"/>
      <c r="ED48" s="42"/>
      <c r="EE48" s="42"/>
      <c r="EF48" s="42"/>
      <c r="EG48" s="64"/>
    </row>
    <row r="49" spans="2:137" ht="30" x14ac:dyDescent="0.25">
      <c r="B49" s="1" t="str">
        <f>Base!I42</f>
        <v>316 implémenter une alerte sur éléments spécifiques</v>
      </c>
      <c r="C49" s="68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74"/>
      <c r="AH49" s="75"/>
      <c r="AI49" s="86"/>
      <c r="AJ49" s="68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74"/>
      <c r="BG49" s="74"/>
      <c r="BH49" s="75"/>
      <c r="BI49" s="148"/>
      <c r="BJ49" s="43"/>
      <c r="BK49" s="43"/>
      <c r="BL49" s="42"/>
      <c r="BM49" s="43"/>
      <c r="BN49" s="43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217"/>
      <c r="CB49" s="43"/>
      <c r="CC49" s="43"/>
      <c r="CD49" s="43"/>
      <c r="CE49" s="43"/>
      <c r="CF49" s="43"/>
      <c r="CG49" s="43"/>
      <c r="CH49" s="43"/>
      <c r="CI49" s="42"/>
      <c r="CJ49" s="42"/>
      <c r="CK49" s="42"/>
      <c r="CL49" s="42"/>
      <c r="CM49" s="42"/>
      <c r="CN49" s="74"/>
      <c r="CO49" s="75"/>
      <c r="CP49" s="148"/>
      <c r="CQ49" s="96"/>
      <c r="CR49" s="43"/>
      <c r="CS49" s="43"/>
      <c r="CT49" s="43"/>
      <c r="CU49" s="43"/>
      <c r="CV49" s="42"/>
      <c r="CW49" s="42"/>
      <c r="CX49" s="42"/>
      <c r="CY49" s="42"/>
      <c r="CZ49" s="42"/>
      <c r="DA49" s="42"/>
      <c r="DB49" s="42"/>
      <c r="DC49" s="42"/>
      <c r="DD49" s="42"/>
      <c r="DE49" s="42"/>
      <c r="DF49" s="42"/>
      <c r="DG49" s="42"/>
      <c r="DH49" s="42"/>
      <c r="DI49" s="42"/>
      <c r="DJ49" s="42"/>
      <c r="DK49" s="42"/>
      <c r="DL49" s="42"/>
      <c r="DM49" s="42"/>
      <c r="DN49" s="81"/>
      <c r="DO49" s="81"/>
      <c r="DP49" s="91"/>
      <c r="DQ49" s="68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2"/>
      <c r="ED49" s="42"/>
      <c r="EE49" s="42"/>
      <c r="EF49" s="42"/>
      <c r="EG49" s="64"/>
    </row>
    <row r="50" spans="2:137" ht="30" x14ac:dyDescent="0.25">
      <c r="B50" s="1" t="str">
        <f>Base!I43</f>
        <v>317 implémenter l'impression d'une liste triée</v>
      </c>
      <c r="C50" s="68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74"/>
      <c r="AH50" s="75"/>
      <c r="AI50" s="86"/>
      <c r="AJ50" s="68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74"/>
      <c r="BG50" s="74"/>
      <c r="BH50" s="75"/>
      <c r="BI50" s="148"/>
      <c r="BJ50" s="43"/>
      <c r="BK50" s="43"/>
      <c r="BL50" s="42"/>
      <c r="BM50" s="43"/>
      <c r="BN50" s="43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3"/>
      <c r="CC50" s="43"/>
      <c r="CD50" s="43"/>
      <c r="CE50" s="43"/>
      <c r="CF50" s="211"/>
      <c r="CG50" s="211"/>
      <c r="CH50" s="43"/>
      <c r="CI50" s="42"/>
      <c r="CJ50" s="42"/>
      <c r="CK50" s="42"/>
      <c r="CL50" s="42"/>
      <c r="CM50" s="42"/>
      <c r="CN50" s="74"/>
      <c r="CO50" s="75"/>
      <c r="CP50" s="148"/>
      <c r="CQ50" s="96"/>
      <c r="CR50" s="43"/>
      <c r="CS50" s="43"/>
      <c r="CT50" s="43"/>
      <c r="CU50" s="43"/>
      <c r="CV50" s="42"/>
      <c r="CW50" s="42"/>
      <c r="CX50" s="42"/>
      <c r="CY50" s="42"/>
      <c r="CZ50" s="42"/>
      <c r="DA50" s="42"/>
      <c r="DB50" s="42"/>
      <c r="DC50" s="42"/>
      <c r="DD50" s="42"/>
      <c r="DE50" s="42"/>
      <c r="DF50" s="42"/>
      <c r="DG50" s="42"/>
      <c r="DH50" s="42"/>
      <c r="DI50" s="42"/>
      <c r="DJ50" s="42"/>
      <c r="DK50" s="42"/>
      <c r="DL50" s="42"/>
      <c r="DM50" s="42"/>
      <c r="DN50" s="81"/>
      <c r="DO50" s="81"/>
      <c r="DP50" s="91"/>
      <c r="DQ50" s="68"/>
      <c r="DR50" s="43"/>
      <c r="DS50" s="43"/>
      <c r="DT50" s="43"/>
      <c r="DU50" s="43"/>
      <c r="DV50" s="43"/>
      <c r="DW50" s="43"/>
      <c r="DX50" s="43"/>
      <c r="DY50" s="43"/>
      <c r="DZ50" s="43"/>
      <c r="EA50" s="43"/>
      <c r="EB50" s="43"/>
      <c r="EC50" s="42"/>
      <c r="ED50" s="42"/>
      <c r="EE50" s="42"/>
      <c r="EF50" s="42"/>
      <c r="EG50" s="64"/>
    </row>
    <row r="51" spans="2:137" x14ac:dyDescent="0.25">
      <c r="B51" s="1" t="str">
        <f>Base!I44</f>
        <v xml:space="preserve">318 - </v>
      </c>
      <c r="C51" s="68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74"/>
      <c r="AH51" s="75"/>
      <c r="AI51" s="86"/>
      <c r="AJ51" s="68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74"/>
      <c r="BG51" s="74"/>
      <c r="BH51" s="75"/>
      <c r="BI51" s="148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9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74"/>
      <c r="CO51" s="75"/>
      <c r="CP51" s="148"/>
      <c r="CQ51" s="96"/>
      <c r="CR51" s="43"/>
      <c r="CS51" s="43"/>
      <c r="CT51" s="43"/>
      <c r="CU51" s="43"/>
      <c r="CV51" s="42"/>
      <c r="CW51" s="42"/>
      <c r="CX51" s="42"/>
      <c r="CY51" s="42"/>
      <c r="CZ51" s="42"/>
      <c r="DA51" s="42"/>
      <c r="DB51" s="42"/>
      <c r="DC51" s="42"/>
      <c r="DD51" s="42"/>
      <c r="DE51" s="42"/>
      <c r="DF51" s="42"/>
      <c r="DG51" s="42"/>
      <c r="DH51" s="42"/>
      <c r="DI51" s="42"/>
      <c r="DJ51" s="42"/>
      <c r="DK51" s="42"/>
      <c r="DL51" s="42"/>
      <c r="DM51" s="42"/>
      <c r="DN51" s="81"/>
      <c r="DO51" s="81"/>
      <c r="DP51" s="91"/>
      <c r="DQ51" s="68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2"/>
      <c r="ED51" s="42"/>
      <c r="EE51" s="42"/>
      <c r="EF51" s="42"/>
      <c r="EG51" s="64"/>
    </row>
    <row r="52" spans="2:137" ht="15" customHeight="1" x14ac:dyDescent="0.25">
      <c r="B52" s="1" t="str">
        <f>Base!I45</f>
        <v xml:space="preserve">319 - </v>
      </c>
      <c r="C52" s="68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74"/>
      <c r="AH52" s="75"/>
      <c r="AI52" s="86"/>
      <c r="AJ52" s="68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74"/>
      <c r="BG52" s="74"/>
      <c r="BH52" s="75"/>
      <c r="BI52" s="148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74"/>
      <c r="CO52" s="75"/>
      <c r="CP52" s="148"/>
      <c r="CQ52" s="96"/>
      <c r="CR52" s="43"/>
      <c r="CS52" s="43"/>
      <c r="CT52" s="43"/>
      <c r="CU52" s="43"/>
      <c r="CV52" s="42"/>
      <c r="CW52" s="42"/>
      <c r="CX52" s="42"/>
      <c r="CY52" s="42"/>
      <c r="CZ52" s="42"/>
      <c r="DA52" s="42"/>
      <c r="DB52" s="42"/>
      <c r="DC52" s="42"/>
      <c r="DD52" s="42"/>
      <c r="DE52" s="42"/>
      <c r="DF52" s="42"/>
      <c r="DG52" s="42"/>
      <c r="DH52" s="42"/>
      <c r="DI52" s="42"/>
      <c r="DJ52" s="42"/>
      <c r="DK52" s="42"/>
      <c r="DL52" s="42"/>
      <c r="DM52" s="42"/>
      <c r="DN52" s="81"/>
      <c r="DO52" s="81"/>
      <c r="DP52" s="91"/>
      <c r="DQ52" s="68"/>
      <c r="DR52" s="43"/>
      <c r="DS52" s="43"/>
      <c r="DT52" s="43"/>
      <c r="DU52" s="43"/>
      <c r="DV52" s="43"/>
      <c r="DW52" s="43"/>
      <c r="DX52" s="43"/>
      <c r="DY52" s="43"/>
      <c r="DZ52" s="43"/>
      <c r="EA52" s="43"/>
      <c r="EB52" s="43"/>
      <c r="EC52" s="42"/>
      <c r="ED52" s="42"/>
      <c r="EE52" s="42"/>
      <c r="EF52" s="42"/>
      <c r="EG52" s="64"/>
    </row>
    <row r="53" spans="2:137" ht="15" customHeight="1" x14ac:dyDescent="0.25">
      <c r="B53" s="1" t="str">
        <f>Base!I46</f>
        <v xml:space="preserve">320 - </v>
      </c>
      <c r="C53" s="68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74"/>
      <c r="AH53" s="75"/>
      <c r="AI53" s="86"/>
      <c r="AJ53" s="68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74"/>
      <c r="BG53" s="74"/>
      <c r="BH53" s="75"/>
      <c r="BI53" s="148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74"/>
      <c r="CO53" s="75"/>
      <c r="CP53" s="148"/>
      <c r="CQ53" s="96"/>
      <c r="CR53" s="43"/>
      <c r="CS53" s="43"/>
      <c r="CT53" s="43"/>
      <c r="CU53" s="43"/>
      <c r="CV53" s="42"/>
      <c r="CW53" s="42"/>
      <c r="CX53" s="42"/>
      <c r="CY53" s="42"/>
      <c r="CZ53" s="42"/>
      <c r="DA53" s="42"/>
      <c r="DB53" s="42"/>
      <c r="DC53" s="42"/>
      <c r="DD53" s="42"/>
      <c r="DE53" s="42"/>
      <c r="DF53" s="42"/>
      <c r="DG53" s="42"/>
      <c r="DH53" s="42"/>
      <c r="DI53" s="42"/>
      <c r="DJ53" s="42"/>
      <c r="DK53" s="42"/>
      <c r="DL53" s="42"/>
      <c r="DM53" s="42"/>
      <c r="DN53" s="81"/>
      <c r="DO53" s="81"/>
      <c r="DP53" s="91"/>
      <c r="DQ53" s="68"/>
      <c r="DR53" s="43"/>
      <c r="DS53" s="43"/>
      <c r="DT53" s="43"/>
      <c r="DU53" s="43"/>
      <c r="DV53" s="43"/>
      <c r="DW53" s="43"/>
      <c r="DX53" s="43"/>
      <c r="DY53" s="43"/>
      <c r="DZ53" s="43"/>
      <c r="EA53" s="43"/>
      <c r="EB53" s="43"/>
      <c r="EC53" s="42"/>
      <c r="ED53" s="42"/>
      <c r="EE53" s="42"/>
      <c r="EF53" s="42"/>
      <c r="EG53" s="64"/>
    </row>
    <row r="54" spans="2:137" ht="15" customHeight="1" x14ac:dyDescent="0.25">
      <c r="B54" s="1" t="str">
        <f>Base!I47</f>
        <v xml:space="preserve">321 - </v>
      </c>
      <c r="C54" s="68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74"/>
      <c r="AH54" s="75"/>
      <c r="AI54" s="86"/>
      <c r="AJ54" s="68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74"/>
      <c r="BG54" s="74"/>
      <c r="BH54" s="75"/>
      <c r="BI54" s="148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74"/>
      <c r="CO54" s="75"/>
      <c r="CP54" s="148"/>
      <c r="CQ54" s="96"/>
      <c r="CR54" s="43"/>
      <c r="CS54" s="43"/>
      <c r="CT54" s="43"/>
      <c r="CU54" s="43"/>
      <c r="CV54" s="42"/>
      <c r="CW54" s="42"/>
      <c r="CX54" s="42"/>
      <c r="CY54" s="42"/>
      <c r="CZ54" s="42"/>
      <c r="DA54" s="42"/>
      <c r="DB54" s="42"/>
      <c r="DC54" s="42"/>
      <c r="DD54" s="42"/>
      <c r="DE54" s="42"/>
      <c r="DF54" s="42"/>
      <c r="DG54" s="42"/>
      <c r="DH54" s="42"/>
      <c r="DI54" s="42"/>
      <c r="DJ54" s="42"/>
      <c r="DK54" s="42"/>
      <c r="DL54" s="42"/>
      <c r="DM54" s="42"/>
      <c r="DN54" s="81"/>
      <c r="DO54" s="81"/>
      <c r="DP54" s="91"/>
      <c r="DQ54" s="68"/>
      <c r="DR54" s="43"/>
      <c r="DS54" s="43"/>
      <c r="DT54" s="43"/>
      <c r="DU54" s="43"/>
      <c r="DV54" s="43"/>
      <c r="DW54" s="43"/>
      <c r="DX54" s="43"/>
      <c r="DY54" s="43"/>
      <c r="DZ54" s="43"/>
      <c r="EA54" s="43"/>
      <c r="EB54" s="43"/>
      <c r="EC54" s="42"/>
      <c r="ED54" s="42"/>
      <c r="EE54" s="42"/>
      <c r="EF54" s="42"/>
      <c r="EG54" s="64"/>
    </row>
    <row r="55" spans="2:137" ht="15.75" customHeight="1" thickBot="1" x14ac:dyDescent="0.3">
      <c r="B55" s="1" t="str">
        <f>Base!I48</f>
        <v xml:space="preserve">322 - </v>
      </c>
      <c r="C55" s="70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76"/>
      <c r="AH55" s="77"/>
      <c r="AI55" s="87"/>
      <c r="AJ55" s="69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78"/>
      <c r="BG55" s="78"/>
      <c r="BH55" s="79"/>
      <c r="BI55" s="149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2"/>
      <c r="BW55" s="62"/>
      <c r="BX55" s="62"/>
      <c r="BY55" s="62"/>
      <c r="BZ55" s="62"/>
      <c r="CA55" s="62"/>
      <c r="CB55" s="62"/>
      <c r="CC55" s="62"/>
      <c r="CD55" s="62"/>
      <c r="CE55" s="62"/>
      <c r="CF55" s="62"/>
      <c r="CG55" s="62"/>
      <c r="CH55" s="62"/>
      <c r="CI55" s="62"/>
      <c r="CJ55" s="62"/>
      <c r="CK55" s="62"/>
      <c r="CL55" s="62"/>
      <c r="CM55" s="62"/>
      <c r="CN55" s="78"/>
      <c r="CO55" s="79"/>
      <c r="CP55" s="149"/>
      <c r="CQ55" s="97"/>
      <c r="CR55" s="45"/>
      <c r="CS55" s="45"/>
      <c r="CT55" s="45"/>
      <c r="CU55" s="45"/>
      <c r="CV55" s="44"/>
      <c r="CW55" s="44"/>
      <c r="CX55" s="44"/>
      <c r="CY55" s="44"/>
      <c r="CZ55" s="44"/>
      <c r="DA55" s="44"/>
      <c r="DB55" s="44"/>
      <c r="DC55" s="44"/>
      <c r="DD55" s="44"/>
      <c r="DE55" s="44"/>
      <c r="DF55" s="44"/>
      <c r="DG55" s="44"/>
      <c r="DH55" s="44"/>
      <c r="DI55" s="44"/>
      <c r="DJ55" s="44"/>
      <c r="DK55" s="44"/>
      <c r="DL55" s="44"/>
      <c r="DM55" s="44"/>
      <c r="DN55" s="82"/>
      <c r="DO55" s="82"/>
      <c r="DP55" s="92"/>
      <c r="DQ55" s="70"/>
      <c r="DR55" s="45"/>
      <c r="DS55" s="45"/>
      <c r="DT55" s="45"/>
      <c r="DU55" s="45"/>
      <c r="DV55" s="45"/>
      <c r="DW55" s="45"/>
      <c r="DX55" s="45"/>
      <c r="DY55" s="45"/>
      <c r="DZ55" s="45"/>
      <c r="EA55" s="45"/>
      <c r="EB55" s="45"/>
      <c r="EC55" s="44"/>
      <c r="ED55" s="44"/>
      <c r="EE55" s="44"/>
      <c r="EF55" s="44"/>
      <c r="EG55" s="65"/>
    </row>
    <row r="56" spans="2:137" ht="15.75" customHeight="1" x14ac:dyDescent="0.25">
      <c r="B56" s="249" t="str">
        <f>Base!H49</f>
        <v>Documentation</v>
      </c>
      <c r="C56" s="31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  <c r="BM56" s="54"/>
      <c r="BN56" s="54"/>
      <c r="BO56" s="54"/>
      <c r="BP56" s="54"/>
      <c r="BQ56" s="54"/>
      <c r="BR56" s="54"/>
      <c r="BS56" s="54"/>
      <c r="BT56" s="54"/>
      <c r="BU56" s="54"/>
      <c r="BV56" s="54"/>
      <c r="BW56" s="54"/>
      <c r="BX56" s="54"/>
      <c r="BY56" s="54"/>
      <c r="BZ56" s="54"/>
      <c r="CA56" s="54"/>
      <c r="CB56" s="54"/>
      <c r="CC56" s="54"/>
      <c r="CD56" s="54"/>
      <c r="CE56" s="54"/>
      <c r="CF56" s="54"/>
      <c r="CG56" s="54"/>
      <c r="CH56" s="54"/>
      <c r="CI56" s="54"/>
      <c r="CJ56" s="54"/>
      <c r="CK56" s="54"/>
      <c r="CL56" s="54"/>
      <c r="CM56" s="54"/>
      <c r="CN56" s="54"/>
      <c r="CO56" s="54"/>
      <c r="CP56" s="54"/>
      <c r="CQ56" s="54"/>
      <c r="CR56" s="54"/>
      <c r="CS56" s="54"/>
      <c r="CT56" s="54"/>
      <c r="CU56" s="54"/>
      <c r="CV56" s="54"/>
      <c r="CW56" s="54"/>
      <c r="CX56" s="54"/>
      <c r="CY56" s="54"/>
      <c r="CZ56" s="54"/>
      <c r="DA56" s="54"/>
      <c r="DB56" s="54"/>
      <c r="DC56" s="54"/>
      <c r="DD56" s="54"/>
      <c r="DE56" s="54"/>
      <c r="DF56" s="54"/>
      <c r="DG56" s="54"/>
      <c r="DH56" s="54"/>
      <c r="DI56" s="54"/>
      <c r="DJ56" s="54"/>
      <c r="DK56" s="54"/>
      <c r="DL56" s="54"/>
      <c r="DM56" s="54"/>
      <c r="DN56" s="54"/>
      <c r="DO56" s="54"/>
      <c r="DP56" s="54"/>
      <c r="DQ56" s="54"/>
      <c r="DR56" s="54"/>
      <c r="DS56" s="54"/>
      <c r="DT56" s="54"/>
      <c r="DU56" s="54"/>
      <c r="DV56" s="54"/>
      <c r="DW56" s="54"/>
      <c r="DX56" s="54"/>
      <c r="DY56" s="54"/>
      <c r="DZ56" s="54"/>
      <c r="EA56" s="54"/>
      <c r="EB56" s="54"/>
      <c r="EC56" s="54"/>
      <c r="ED56" s="54"/>
      <c r="EE56" s="54"/>
      <c r="EF56" s="54"/>
      <c r="EG56" s="55"/>
    </row>
    <row r="57" spans="2:137" ht="15.75" customHeight="1" thickBot="1" x14ac:dyDescent="0.3">
      <c r="B57" s="250"/>
      <c r="C57" s="32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  <c r="BD57" s="56"/>
      <c r="BE57" s="56"/>
      <c r="BF57" s="56"/>
      <c r="BG57" s="56"/>
      <c r="BH57" s="56"/>
      <c r="BI57" s="56"/>
      <c r="BJ57" s="56"/>
      <c r="BK57" s="56"/>
      <c r="BL57" s="56"/>
      <c r="BM57" s="56"/>
      <c r="BN57" s="56"/>
      <c r="BO57" s="56"/>
      <c r="BP57" s="56"/>
      <c r="BQ57" s="56"/>
      <c r="BR57" s="56"/>
      <c r="BS57" s="56"/>
      <c r="BT57" s="56"/>
      <c r="BU57" s="56"/>
      <c r="BV57" s="56"/>
      <c r="BW57" s="56"/>
      <c r="BX57" s="56"/>
      <c r="BY57" s="56"/>
      <c r="BZ57" s="56"/>
      <c r="CA57" s="56"/>
      <c r="CB57" s="56"/>
      <c r="CC57" s="56"/>
      <c r="CD57" s="56"/>
      <c r="CE57" s="56"/>
      <c r="CF57" s="56"/>
      <c r="CG57" s="56"/>
      <c r="CH57" s="56"/>
      <c r="CI57" s="56"/>
      <c r="CJ57" s="56"/>
      <c r="CK57" s="56"/>
      <c r="CL57" s="56"/>
      <c r="CM57" s="56"/>
      <c r="CN57" s="56"/>
      <c r="CO57" s="56"/>
      <c r="CP57" s="56"/>
      <c r="CQ57" s="56"/>
      <c r="CR57" s="56"/>
      <c r="CS57" s="56"/>
      <c r="CT57" s="56"/>
      <c r="CU57" s="56"/>
      <c r="CV57" s="56"/>
      <c r="CW57" s="56"/>
      <c r="CX57" s="56"/>
      <c r="CY57" s="56"/>
      <c r="CZ57" s="56"/>
      <c r="DA57" s="56"/>
      <c r="DB57" s="56"/>
      <c r="DC57" s="56"/>
      <c r="DD57" s="56"/>
      <c r="DE57" s="56"/>
      <c r="DF57" s="56"/>
      <c r="DG57" s="56"/>
      <c r="DH57" s="56"/>
      <c r="DI57" s="56"/>
      <c r="DJ57" s="56"/>
      <c r="DK57" s="56"/>
      <c r="DL57" s="56"/>
      <c r="DM57" s="56"/>
      <c r="DN57" s="56"/>
      <c r="DO57" s="56"/>
      <c r="DP57" s="56"/>
      <c r="DQ57" s="56"/>
      <c r="DR57" s="56"/>
      <c r="DS57" s="56"/>
      <c r="DT57" s="56"/>
      <c r="DU57" s="56"/>
      <c r="DV57" s="56"/>
      <c r="DW57" s="56"/>
      <c r="DX57" s="56"/>
      <c r="DY57" s="56"/>
      <c r="DZ57" s="56"/>
      <c r="EA57" s="56"/>
      <c r="EB57" s="56"/>
      <c r="EC57" s="56"/>
      <c r="ED57" s="56"/>
      <c r="EE57" s="56"/>
      <c r="EF57" s="56"/>
      <c r="EG57" s="57"/>
    </row>
    <row r="58" spans="2:137" ht="15" customHeight="1" x14ac:dyDescent="0.25">
      <c r="B58" s="1" t="str">
        <f>Base!I49</f>
        <v>401 mise en forme du rapport de projet</v>
      </c>
      <c r="C58" s="240"/>
      <c r="D58" s="239"/>
      <c r="E58" s="239"/>
      <c r="F58" s="239"/>
      <c r="G58" s="239"/>
      <c r="H58" s="239"/>
      <c r="I58" s="239"/>
      <c r="J58" s="239"/>
      <c r="K58" s="239"/>
      <c r="L58" s="239"/>
      <c r="M58" s="239"/>
      <c r="N58" s="239"/>
      <c r="O58" s="235"/>
      <c r="P58" s="235"/>
      <c r="Q58" s="235"/>
      <c r="R58" s="235"/>
      <c r="S58" s="235"/>
      <c r="T58" s="235"/>
      <c r="U58" s="235"/>
      <c r="V58" s="235"/>
      <c r="W58" s="235"/>
      <c r="X58" s="235"/>
      <c r="Y58" s="235"/>
      <c r="Z58" s="235"/>
      <c r="AA58" s="235"/>
      <c r="AB58" s="235"/>
      <c r="AC58" s="235"/>
      <c r="AD58" s="235"/>
      <c r="AE58" s="235"/>
      <c r="AF58" s="235"/>
      <c r="AG58" s="73"/>
      <c r="AH58" s="72"/>
      <c r="AI58" s="88"/>
      <c r="AJ58" s="240"/>
      <c r="AK58" s="239"/>
      <c r="AL58" s="239"/>
      <c r="AM58" s="239"/>
      <c r="AN58" s="239"/>
      <c r="AO58" s="239"/>
      <c r="AP58" s="239"/>
      <c r="AQ58" s="239"/>
      <c r="AR58" s="239"/>
      <c r="AS58" s="239"/>
      <c r="AT58" s="239"/>
      <c r="AU58" s="239"/>
      <c r="AV58" s="235"/>
      <c r="AW58" s="235"/>
      <c r="AX58" s="235"/>
      <c r="AY58" s="235"/>
      <c r="AZ58" s="235"/>
      <c r="BA58" s="235"/>
      <c r="BB58" s="235"/>
      <c r="BC58" s="235"/>
      <c r="BD58" s="235"/>
      <c r="BE58" s="235"/>
      <c r="BF58" s="73"/>
      <c r="BG58" s="73"/>
      <c r="BH58" s="72"/>
      <c r="BI58" s="88"/>
      <c r="BJ58" s="236"/>
      <c r="BK58" s="237"/>
      <c r="BL58" s="237"/>
      <c r="BM58" s="237"/>
      <c r="BN58" s="237"/>
      <c r="BO58" s="237"/>
      <c r="BP58" s="237"/>
      <c r="BQ58" s="237"/>
      <c r="BR58" s="237"/>
      <c r="BS58" s="237"/>
      <c r="BT58" s="237"/>
      <c r="BU58" s="237"/>
      <c r="BV58" s="238"/>
      <c r="BW58" s="238"/>
      <c r="BX58" s="238"/>
      <c r="BY58" s="238"/>
      <c r="BZ58" s="238"/>
      <c r="CA58" s="238"/>
      <c r="CB58" s="238"/>
      <c r="CC58" s="238"/>
      <c r="CD58" s="238"/>
      <c r="CE58" s="238"/>
      <c r="CF58" s="238"/>
      <c r="CG58" s="238"/>
      <c r="CH58" s="238"/>
      <c r="CI58" s="238"/>
      <c r="CJ58" s="238"/>
      <c r="CK58" s="238"/>
      <c r="CL58" s="238"/>
      <c r="CM58" s="238"/>
      <c r="CN58" s="145"/>
      <c r="CO58" s="146"/>
      <c r="CP58" s="147"/>
      <c r="CQ58" s="95"/>
      <c r="CR58" s="239"/>
      <c r="CS58" s="239"/>
      <c r="CT58" s="239"/>
      <c r="CU58" s="239"/>
      <c r="CV58" s="235"/>
      <c r="CW58" s="235"/>
      <c r="CX58" s="235"/>
      <c r="CY58" s="235"/>
      <c r="CZ58" s="235"/>
      <c r="DA58" s="235"/>
      <c r="DB58" s="235"/>
      <c r="DC58" s="235"/>
      <c r="DD58" s="235"/>
      <c r="DE58" s="235"/>
      <c r="DF58" s="235"/>
      <c r="DG58" s="235"/>
      <c r="DH58" s="235"/>
      <c r="DI58" s="235"/>
      <c r="DJ58" s="235"/>
      <c r="DK58" s="235"/>
      <c r="DL58" s="235"/>
      <c r="DM58" s="235"/>
      <c r="DN58" s="80"/>
      <c r="DO58" s="80"/>
      <c r="DP58" s="90"/>
      <c r="DQ58" s="240"/>
      <c r="DR58" s="239"/>
      <c r="DS58" s="239"/>
      <c r="DT58" s="239"/>
      <c r="DU58" s="239"/>
      <c r="DV58" s="239"/>
      <c r="DW58" s="239"/>
      <c r="DX58" s="239"/>
      <c r="DY58" s="239"/>
      <c r="DZ58" s="239"/>
      <c r="EA58" s="239"/>
      <c r="EB58" s="239"/>
      <c r="EC58" s="235"/>
      <c r="ED58" s="235"/>
      <c r="EE58" s="235"/>
      <c r="EF58" s="235"/>
      <c r="EG58" s="241"/>
    </row>
    <row r="59" spans="2:137" x14ac:dyDescent="0.25">
      <c r="B59" s="1" t="str">
        <f>Base!I50</f>
        <v>402 journal de travail</v>
      </c>
      <c r="C59" s="218"/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20"/>
      <c r="P59" s="220"/>
      <c r="Q59" s="220"/>
      <c r="R59" s="220"/>
      <c r="S59" s="220"/>
      <c r="T59" s="220"/>
      <c r="U59" s="220"/>
      <c r="V59" s="220"/>
      <c r="W59" s="220"/>
      <c r="X59" s="220"/>
      <c r="Y59" s="220"/>
      <c r="Z59" s="220"/>
      <c r="AA59" s="220"/>
      <c r="AB59" s="220"/>
      <c r="AC59" s="220"/>
      <c r="AD59" s="220"/>
      <c r="AE59" s="220"/>
      <c r="AF59" s="220"/>
      <c r="AG59" s="74"/>
      <c r="AH59" s="75"/>
      <c r="AI59" s="86"/>
      <c r="AJ59" s="218"/>
      <c r="AK59" s="219"/>
      <c r="AL59" s="219"/>
      <c r="AM59" s="219"/>
      <c r="AN59" s="219"/>
      <c r="AO59" s="219"/>
      <c r="AP59" s="219"/>
      <c r="AQ59" s="219"/>
      <c r="AR59" s="219"/>
      <c r="AS59" s="219"/>
      <c r="AT59" s="219"/>
      <c r="AU59" s="219"/>
      <c r="AV59" s="220"/>
      <c r="AW59" s="220"/>
      <c r="AX59" s="220"/>
      <c r="AY59" s="220"/>
      <c r="AZ59" s="220"/>
      <c r="BA59" s="220"/>
      <c r="BB59" s="220"/>
      <c r="BC59" s="220"/>
      <c r="BD59" s="220"/>
      <c r="BE59" s="220"/>
      <c r="BF59" s="74"/>
      <c r="BG59" s="74"/>
      <c r="BH59" s="75"/>
      <c r="BI59" s="86"/>
      <c r="BJ59" s="218"/>
      <c r="BK59" s="219"/>
      <c r="BL59" s="219"/>
      <c r="BM59" s="219"/>
      <c r="BN59" s="219"/>
      <c r="BO59" s="219"/>
      <c r="BP59" s="219"/>
      <c r="BQ59" s="219"/>
      <c r="BR59" s="219"/>
      <c r="BS59" s="219"/>
      <c r="BT59" s="219"/>
      <c r="BU59" s="219"/>
      <c r="BV59" s="220"/>
      <c r="BW59" s="220"/>
      <c r="BX59" s="220"/>
      <c r="BY59" s="220"/>
      <c r="BZ59" s="220"/>
      <c r="CA59" s="220"/>
      <c r="CB59" s="220"/>
      <c r="CC59" s="220"/>
      <c r="CD59" s="220"/>
      <c r="CE59" s="220"/>
      <c r="CF59" s="220"/>
      <c r="CG59" s="220"/>
      <c r="CH59" s="220"/>
      <c r="CI59" s="220"/>
      <c r="CJ59" s="220"/>
      <c r="CK59" s="220"/>
      <c r="CL59" s="220"/>
      <c r="CM59" s="220"/>
      <c r="CN59" s="74"/>
      <c r="CO59" s="75"/>
      <c r="CP59" s="148"/>
      <c r="CQ59" s="96"/>
      <c r="CR59" s="219"/>
      <c r="CS59" s="219"/>
      <c r="CT59" s="219"/>
      <c r="CU59" s="219"/>
      <c r="CV59" s="220"/>
      <c r="CW59" s="220"/>
      <c r="CX59" s="220"/>
      <c r="CY59" s="220"/>
      <c r="CZ59" s="220"/>
      <c r="DA59" s="220"/>
      <c r="DB59" s="220"/>
      <c r="DC59" s="220"/>
      <c r="DD59" s="220"/>
      <c r="DE59" s="220"/>
      <c r="DF59" s="220"/>
      <c r="DG59" s="220"/>
      <c r="DH59" s="220"/>
      <c r="DI59" s="220"/>
      <c r="DJ59" s="220"/>
      <c r="DK59" s="220"/>
      <c r="DL59" s="220"/>
      <c r="DM59" s="220"/>
      <c r="DN59" s="81"/>
      <c r="DO59" s="81"/>
      <c r="DP59" s="91"/>
      <c r="DQ59" s="218"/>
      <c r="DR59" s="219"/>
      <c r="DS59" s="219"/>
      <c r="DT59" s="219"/>
      <c r="DU59" s="219"/>
      <c r="DV59" s="219"/>
      <c r="DW59" s="219"/>
      <c r="DX59" s="219"/>
      <c r="DY59" s="219"/>
      <c r="DZ59" s="219"/>
      <c r="EA59" s="219"/>
      <c r="EB59" s="219"/>
      <c r="EC59" s="220"/>
      <c r="ED59" s="220"/>
      <c r="EE59" s="220"/>
      <c r="EF59" s="220"/>
      <c r="EG59" s="221"/>
    </row>
    <row r="60" spans="2:137" x14ac:dyDescent="0.25">
      <c r="B60" s="1" t="str">
        <f>Base!I51</f>
        <v>403 procédure d'installation</v>
      </c>
      <c r="C60" s="68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74"/>
      <c r="AH60" s="75"/>
      <c r="AI60" s="86"/>
      <c r="AJ60" s="68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74"/>
      <c r="BG60" s="74"/>
      <c r="BH60" s="75"/>
      <c r="BI60" s="86"/>
      <c r="BJ60" s="68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74"/>
      <c r="CO60" s="75"/>
      <c r="CP60" s="148"/>
      <c r="CQ60" s="96"/>
      <c r="CR60" s="43"/>
      <c r="CS60" s="43"/>
      <c r="CT60" s="43"/>
      <c r="CU60" s="43"/>
      <c r="CV60" s="42"/>
      <c r="CW60" s="42"/>
      <c r="CX60" s="42"/>
      <c r="CY60" s="42"/>
      <c r="CZ60" s="42"/>
      <c r="DA60" s="42"/>
      <c r="DB60" s="42"/>
      <c r="DC60" s="42"/>
      <c r="DD60" s="42"/>
      <c r="DE60" s="42"/>
      <c r="DF60" s="42"/>
      <c r="DG60" s="42"/>
      <c r="DH60" s="42"/>
      <c r="DI60" s="42"/>
      <c r="DJ60" s="42"/>
      <c r="DK60" s="42"/>
      <c r="DL60" s="42"/>
      <c r="DM60" s="42"/>
      <c r="DN60" s="81"/>
      <c r="DO60" s="81"/>
      <c r="DP60" s="91"/>
      <c r="DQ60" s="68"/>
      <c r="DR60" s="43"/>
      <c r="DS60" s="43"/>
      <c r="DT60" s="43"/>
      <c r="DU60" s="43"/>
      <c r="DV60" s="43"/>
      <c r="DW60" s="43"/>
      <c r="DX60" s="43"/>
      <c r="DY60" s="43"/>
      <c r="DZ60" s="43"/>
      <c r="EA60" s="215"/>
      <c r="EB60" s="215"/>
      <c r="EC60" s="216"/>
      <c r="ED60" s="42"/>
      <c r="EE60" s="42"/>
      <c r="EF60" s="42"/>
      <c r="EG60" s="64"/>
    </row>
    <row r="61" spans="2:137" x14ac:dyDescent="0.25">
      <c r="B61" s="1" t="str">
        <f>Base!I52</f>
        <v>404 procédure de test</v>
      </c>
      <c r="C61" s="68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2"/>
      <c r="P61" s="216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74"/>
      <c r="AH61" s="75"/>
      <c r="AI61" s="86"/>
      <c r="AJ61" s="68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74"/>
      <c r="BG61" s="74"/>
      <c r="BH61" s="75"/>
      <c r="BI61" s="86"/>
      <c r="BJ61" s="68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74"/>
      <c r="CO61" s="75"/>
      <c r="CP61" s="148"/>
      <c r="CQ61" s="96"/>
      <c r="CR61" s="43"/>
      <c r="CS61" s="43"/>
      <c r="CT61" s="43"/>
      <c r="CU61" s="43"/>
      <c r="CV61" s="42"/>
      <c r="CW61" s="42"/>
      <c r="CX61" s="42"/>
      <c r="CY61" s="42"/>
      <c r="CZ61" s="42"/>
      <c r="DA61" s="42"/>
      <c r="DB61" s="42"/>
      <c r="DC61" s="42"/>
      <c r="DD61" s="42"/>
      <c r="DE61" s="42"/>
      <c r="DF61" s="42"/>
      <c r="DG61" s="42"/>
      <c r="DH61" s="42"/>
      <c r="DI61" s="42"/>
      <c r="DJ61" s="42"/>
      <c r="DK61" s="42"/>
      <c r="DL61" s="42"/>
      <c r="DM61" s="42"/>
      <c r="DN61" s="81"/>
      <c r="DO61" s="81"/>
      <c r="DP61" s="91"/>
      <c r="DQ61" s="68"/>
      <c r="DR61" s="43"/>
      <c r="DS61" s="43"/>
      <c r="DT61" s="43"/>
      <c r="DU61" s="43"/>
      <c r="DV61" s="43"/>
      <c r="DW61" s="43"/>
      <c r="DX61" s="43"/>
      <c r="DY61" s="215"/>
      <c r="DZ61" s="215"/>
      <c r="EA61" s="43"/>
      <c r="EB61" s="43"/>
      <c r="EC61" s="42"/>
      <c r="ED61" s="42"/>
      <c r="EE61" s="42"/>
      <c r="EF61" s="42"/>
      <c r="EG61" s="64"/>
    </row>
    <row r="62" spans="2:137" x14ac:dyDescent="0.25">
      <c r="B62" s="1" t="str">
        <f>Base!I53</f>
        <v>405 mise en place du GitHub</v>
      </c>
      <c r="C62" s="68"/>
      <c r="D62" s="43"/>
      <c r="E62" s="43"/>
      <c r="F62" s="43"/>
      <c r="G62" s="43"/>
      <c r="H62" s="43"/>
      <c r="I62" s="43"/>
      <c r="J62" s="215"/>
      <c r="K62" s="43"/>
      <c r="L62" s="43"/>
      <c r="M62" s="43"/>
      <c r="N62" s="43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74"/>
      <c r="AH62" s="75"/>
      <c r="AI62" s="86"/>
      <c r="AJ62" s="68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74"/>
      <c r="BG62" s="74"/>
      <c r="BH62" s="75"/>
      <c r="BI62" s="86"/>
      <c r="BJ62" s="68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74"/>
      <c r="CO62" s="75"/>
      <c r="CP62" s="148"/>
      <c r="CQ62" s="96"/>
      <c r="CR62" s="43"/>
      <c r="CS62" s="43"/>
      <c r="CT62" s="43"/>
      <c r="CU62" s="43"/>
      <c r="CV62" s="42"/>
      <c r="CW62" s="42"/>
      <c r="CX62" s="42"/>
      <c r="CY62" s="42"/>
      <c r="CZ62" s="42"/>
      <c r="DA62" s="42"/>
      <c r="DB62" s="42"/>
      <c r="DC62" s="42"/>
      <c r="DD62" s="42"/>
      <c r="DE62" s="42"/>
      <c r="DF62" s="42"/>
      <c r="DG62" s="42"/>
      <c r="DH62" s="42"/>
      <c r="DI62" s="42"/>
      <c r="DJ62" s="42"/>
      <c r="DK62" s="42"/>
      <c r="DL62" s="42"/>
      <c r="DM62" s="42"/>
      <c r="DN62" s="81"/>
      <c r="DO62" s="81"/>
      <c r="DP62" s="91"/>
      <c r="DQ62" s="68"/>
      <c r="DR62" s="43"/>
      <c r="DS62" s="43"/>
      <c r="DT62" s="43"/>
      <c r="DU62" s="43"/>
      <c r="DV62" s="43"/>
      <c r="DW62" s="43"/>
      <c r="DX62" s="43"/>
      <c r="DY62" s="43"/>
      <c r="DZ62" s="43"/>
      <c r="EA62" s="43"/>
      <c r="EB62" s="43"/>
      <c r="EC62" s="42"/>
      <c r="ED62" s="42"/>
      <c r="EE62" s="42"/>
      <c r="EF62" s="42"/>
      <c r="EG62" s="64"/>
    </row>
    <row r="63" spans="2:137" ht="30.75" thickBot="1" x14ac:dyDescent="0.3">
      <c r="B63" s="1" t="str">
        <f>Base!I54</f>
        <v>406 envoi de l'avancée au CdP et aux experts</v>
      </c>
      <c r="C63" s="70"/>
      <c r="D63" s="45"/>
      <c r="E63" s="45"/>
      <c r="F63" s="45"/>
      <c r="G63" s="45"/>
      <c r="H63" s="45"/>
      <c r="I63" s="45"/>
      <c r="J63" s="222"/>
      <c r="K63" s="45"/>
      <c r="L63" s="45"/>
      <c r="M63" s="45"/>
      <c r="N63" s="45"/>
      <c r="O63" s="223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223"/>
      <c r="AG63" s="76"/>
      <c r="AH63" s="77"/>
      <c r="AI63" s="87"/>
      <c r="AJ63" s="70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223"/>
      <c r="AW63" s="44"/>
      <c r="AX63" s="44"/>
      <c r="AY63" s="44"/>
      <c r="AZ63" s="44"/>
      <c r="BA63" s="44"/>
      <c r="BB63" s="44"/>
      <c r="BC63" s="44"/>
      <c r="BD63" s="44"/>
      <c r="BE63" s="223"/>
      <c r="BF63" s="76"/>
      <c r="BG63" s="76"/>
      <c r="BH63" s="77"/>
      <c r="BI63" s="87"/>
      <c r="BJ63" s="69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224"/>
      <c r="BW63" s="62"/>
      <c r="BX63" s="62"/>
      <c r="BY63" s="62"/>
      <c r="BZ63" s="62"/>
      <c r="CA63" s="62"/>
      <c r="CB63" s="62"/>
      <c r="CC63" s="62"/>
      <c r="CD63" s="62"/>
      <c r="CE63" s="62"/>
      <c r="CF63" s="62"/>
      <c r="CG63" s="62"/>
      <c r="CH63" s="62"/>
      <c r="CI63" s="62"/>
      <c r="CJ63" s="62"/>
      <c r="CK63" s="62"/>
      <c r="CL63" s="62"/>
      <c r="CM63" s="224"/>
      <c r="CN63" s="78"/>
      <c r="CO63" s="79"/>
      <c r="CP63" s="149"/>
      <c r="CQ63" s="97"/>
      <c r="CR63" s="45"/>
      <c r="CS63" s="45"/>
      <c r="CT63" s="45"/>
      <c r="CU63" s="45"/>
      <c r="CV63" s="223"/>
      <c r="CW63" s="44"/>
      <c r="CX63" s="44"/>
      <c r="CY63" s="44"/>
      <c r="CZ63" s="44"/>
      <c r="DA63" s="44"/>
      <c r="DB63" s="44"/>
      <c r="DC63" s="44"/>
      <c r="DD63" s="44"/>
      <c r="DE63" s="44"/>
      <c r="DF63" s="44"/>
      <c r="DG63" s="44"/>
      <c r="DH63" s="44"/>
      <c r="DI63" s="44"/>
      <c r="DJ63" s="44"/>
      <c r="DK63" s="44"/>
      <c r="DL63" s="44"/>
      <c r="DM63" s="223"/>
      <c r="DN63" s="82"/>
      <c r="DO63" s="82"/>
      <c r="DP63" s="92"/>
      <c r="DQ63" s="70"/>
      <c r="DR63" s="45"/>
      <c r="DS63" s="45"/>
      <c r="DT63" s="45"/>
      <c r="DU63" s="45"/>
      <c r="DV63" s="45"/>
      <c r="DW63" s="45"/>
      <c r="DX63" s="45"/>
      <c r="DY63" s="45"/>
      <c r="DZ63" s="45"/>
      <c r="EA63" s="45"/>
      <c r="EB63" s="45"/>
      <c r="EC63" s="44"/>
      <c r="ED63" s="44"/>
      <c r="EE63" s="44"/>
      <c r="EF63" s="223"/>
      <c r="EG63" s="225"/>
    </row>
    <row r="64" spans="2:137" ht="15" customHeight="1" x14ac:dyDescent="0.25">
      <c r="B64" s="251" t="str">
        <f>Base!H55</f>
        <v>Test</v>
      </c>
      <c r="C64" s="33"/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  <c r="AT64" s="58"/>
      <c r="AU64" s="58"/>
      <c r="AV64" s="58"/>
      <c r="AW64" s="58"/>
      <c r="AX64" s="58"/>
      <c r="AY64" s="58"/>
      <c r="AZ64" s="58"/>
      <c r="BA64" s="58"/>
      <c r="BB64" s="58"/>
      <c r="BC64" s="58"/>
      <c r="BD64" s="58"/>
      <c r="BE64" s="58"/>
      <c r="BF64" s="58"/>
      <c r="BG64" s="58"/>
      <c r="BH64" s="58"/>
      <c r="BI64" s="58"/>
      <c r="BJ64" s="58"/>
      <c r="BK64" s="58"/>
      <c r="BL64" s="58"/>
      <c r="BM64" s="58"/>
      <c r="BN64" s="58"/>
      <c r="BO64" s="58"/>
      <c r="BP64" s="58"/>
      <c r="BQ64" s="58"/>
      <c r="BR64" s="58"/>
      <c r="BS64" s="58"/>
      <c r="BT64" s="58"/>
      <c r="BU64" s="58"/>
      <c r="BV64" s="58"/>
      <c r="BW64" s="58"/>
      <c r="BX64" s="58"/>
      <c r="BY64" s="58"/>
      <c r="BZ64" s="58"/>
      <c r="CA64" s="58"/>
      <c r="CB64" s="58"/>
      <c r="CC64" s="58"/>
      <c r="CD64" s="58"/>
      <c r="CE64" s="58"/>
      <c r="CF64" s="58"/>
      <c r="CG64" s="58"/>
      <c r="CH64" s="58"/>
      <c r="CI64" s="58"/>
      <c r="CJ64" s="58"/>
      <c r="CK64" s="58"/>
      <c r="CL64" s="58"/>
      <c r="CM64" s="58"/>
      <c r="CN64" s="58"/>
      <c r="CO64" s="58"/>
      <c r="CP64" s="58"/>
      <c r="CQ64" s="58"/>
      <c r="CR64" s="58"/>
      <c r="CS64" s="58"/>
      <c r="CT64" s="58"/>
      <c r="CU64" s="58"/>
      <c r="CV64" s="58"/>
      <c r="CW64" s="58"/>
      <c r="CX64" s="58"/>
      <c r="CY64" s="58"/>
      <c r="CZ64" s="58"/>
      <c r="DA64" s="58"/>
      <c r="DB64" s="58"/>
      <c r="DC64" s="58"/>
      <c r="DD64" s="58"/>
      <c r="DE64" s="58"/>
      <c r="DF64" s="58"/>
      <c r="DG64" s="58"/>
      <c r="DH64" s="58"/>
      <c r="DI64" s="58"/>
      <c r="DJ64" s="58"/>
      <c r="DK64" s="58"/>
      <c r="DL64" s="58"/>
      <c r="DM64" s="58"/>
      <c r="DN64" s="58"/>
      <c r="DO64" s="58"/>
      <c r="DP64" s="58"/>
      <c r="DQ64" s="58"/>
      <c r="DR64" s="58"/>
      <c r="DS64" s="58"/>
      <c r="DT64" s="58"/>
      <c r="DU64" s="58"/>
      <c r="DV64" s="58"/>
      <c r="DW64" s="58"/>
      <c r="DX64" s="58"/>
      <c r="DY64" s="58"/>
      <c r="DZ64" s="58"/>
      <c r="EA64" s="58"/>
      <c r="EB64" s="58"/>
      <c r="EC64" s="58"/>
      <c r="ED64" s="58"/>
      <c r="EE64" s="58"/>
      <c r="EF64" s="58"/>
      <c r="EG64" s="59"/>
    </row>
    <row r="65" spans="2:139" ht="15.75" customHeight="1" thickBot="1" x14ac:dyDescent="0.3">
      <c r="B65" s="252"/>
      <c r="C65" s="34"/>
      <c r="D65" s="60"/>
      <c r="E65" s="60"/>
      <c r="F65" s="60"/>
      <c r="G65" s="60"/>
      <c r="H65" s="60"/>
      <c r="I65" s="60"/>
      <c r="J65" s="60"/>
      <c r="K65" s="60"/>
      <c r="L65" s="60"/>
      <c r="M65" s="60"/>
      <c r="N65" s="60"/>
      <c r="O65" s="60"/>
      <c r="P65" s="60"/>
      <c r="Q65" s="60"/>
      <c r="R65" s="60"/>
      <c r="S65" s="60"/>
      <c r="T65" s="60"/>
      <c r="U65" s="60"/>
      <c r="V65" s="60"/>
      <c r="W65" s="60"/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  <c r="AK65" s="60"/>
      <c r="AL65" s="60"/>
      <c r="AM65" s="60"/>
      <c r="AN65" s="60"/>
      <c r="AO65" s="60"/>
      <c r="AP65" s="60"/>
      <c r="AQ65" s="60"/>
      <c r="AR65" s="60"/>
      <c r="AS65" s="60"/>
      <c r="AT65" s="60"/>
      <c r="AU65" s="60"/>
      <c r="AV65" s="60"/>
      <c r="AW65" s="60"/>
      <c r="AX65" s="60"/>
      <c r="AY65" s="60"/>
      <c r="AZ65" s="60"/>
      <c r="BA65" s="60"/>
      <c r="BB65" s="60"/>
      <c r="BC65" s="60"/>
      <c r="BD65" s="60"/>
      <c r="BE65" s="60"/>
      <c r="BF65" s="60"/>
      <c r="BG65" s="60"/>
      <c r="BH65" s="60"/>
      <c r="BI65" s="60"/>
      <c r="BJ65" s="60"/>
      <c r="BK65" s="60"/>
      <c r="BL65" s="60"/>
      <c r="BM65" s="60"/>
      <c r="BN65" s="60"/>
      <c r="BO65" s="60"/>
      <c r="BP65" s="60"/>
      <c r="BQ65" s="60"/>
      <c r="BR65" s="60"/>
      <c r="BS65" s="60"/>
      <c r="BT65" s="60"/>
      <c r="BU65" s="60"/>
      <c r="BV65" s="60"/>
      <c r="BW65" s="60"/>
      <c r="BX65" s="60"/>
      <c r="BY65" s="60"/>
      <c r="BZ65" s="60"/>
      <c r="CA65" s="60"/>
      <c r="CB65" s="60"/>
      <c r="CC65" s="60"/>
      <c r="CD65" s="60"/>
      <c r="CE65" s="60"/>
      <c r="CF65" s="60"/>
      <c r="CG65" s="60"/>
      <c r="CH65" s="60"/>
      <c r="CI65" s="60"/>
      <c r="CJ65" s="60"/>
      <c r="CK65" s="60"/>
      <c r="CL65" s="60"/>
      <c r="CM65" s="60"/>
      <c r="CN65" s="60"/>
      <c r="CO65" s="60"/>
      <c r="CP65" s="60"/>
      <c r="CQ65" s="60"/>
      <c r="CR65" s="60"/>
      <c r="CS65" s="60"/>
      <c r="CT65" s="60"/>
      <c r="CU65" s="60"/>
      <c r="CV65" s="60"/>
      <c r="CW65" s="60"/>
      <c r="CX65" s="60"/>
      <c r="CY65" s="60"/>
      <c r="CZ65" s="60"/>
      <c r="DA65" s="60"/>
      <c r="DB65" s="60"/>
      <c r="DC65" s="60"/>
      <c r="DD65" s="60"/>
      <c r="DE65" s="60"/>
      <c r="DF65" s="60"/>
      <c r="DG65" s="60"/>
      <c r="DH65" s="60"/>
      <c r="DI65" s="60"/>
      <c r="DJ65" s="60"/>
      <c r="DK65" s="60"/>
      <c r="DL65" s="60"/>
      <c r="DM65" s="60"/>
      <c r="DN65" s="60"/>
      <c r="DO65" s="60"/>
      <c r="DP65" s="60"/>
      <c r="DQ65" s="60"/>
      <c r="DR65" s="60"/>
      <c r="DS65" s="60"/>
      <c r="DT65" s="60"/>
      <c r="DU65" s="60"/>
      <c r="DV65" s="60"/>
      <c r="DW65" s="60"/>
      <c r="DX65" s="60"/>
      <c r="DY65" s="60"/>
      <c r="DZ65" s="60"/>
      <c r="EA65" s="60"/>
      <c r="EB65" s="60"/>
      <c r="EC65" s="60"/>
      <c r="ED65" s="60"/>
      <c r="EE65" s="60"/>
      <c r="EF65" s="60"/>
      <c r="EG65" s="61"/>
    </row>
    <row r="66" spans="2:139" ht="15" customHeight="1" x14ac:dyDescent="0.25">
      <c r="B66" s="1" t="str">
        <f>Base!I55</f>
        <v>501 réalisation des tests unitaires</v>
      </c>
      <c r="C66" s="71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73"/>
      <c r="AH66" s="72"/>
      <c r="AI66" s="88"/>
      <c r="AJ66" s="71"/>
      <c r="AK66" s="49"/>
      <c r="AL66" s="49"/>
      <c r="AM66" s="49"/>
      <c r="AN66" s="49"/>
      <c r="AO66" s="49"/>
      <c r="AP66" s="49"/>
      <c r="AQ66" s="49"/>
      <c r="AR66" s="49"/>
      <c r="AS66" s="49"/>
      <c r="AT66" s="49"/>
      <c r="AU66" s="49"/>
      <c r="AV66" s="48"/>
      <c r="AW66" s="48"/>
      <c r="AX66" s="48"/>
      <c r="AY66" s="48"/>
      <c r="AZ66" s="235"/>
      <c r="BA66" s="235"/>
      <c r="BB66" s="235"/>
      <c r="BC66" s="235"/>
      <c r="BD66" s="235"/>
      <c r="BE66" s="235"/>
      <c r="BF66" s="73"/>
      <c r="BG66" s="73"/>
      <c r="BH66" s="72"/>
      <c r="BI66" s="88"/>
      <c r="BJ66" s="236"/>
      <c r="BK66" s="237"/>
      <c r="BL66" s="237"/>
      <c r="BM66" s="237"/>
      <c r="BN66" s="237"/>
      <c r="BO66" s="237"/>
      <c r="BP66" s="237"/>
      <c r="BQ66" s="237"/>
      <c r="BR66" s="237"/>
      <c r="BS66" s="237"/>
      <c r="BT66" s="237"/>
      <c r="BU66" s="237"/>
      <c r="BV66" s="238"/>
      <c r="BW66" s="238"/>
      <c r="BX66" s="238"/>
      <c r="BY66" s="238"/>
      <c r="BZ66" s="238"/>
      <c r="CA66" s="238"/>
      <c r="CB66" s="238"/>
      <c r="CC66" s="238"/>
      <c r="CD66" s="238"/>
      <c r="CE66" s="238"/>
      <c r="CF66" s="238"/>
      <c r="CG66" s="238"/>
      <c r="CH66" s="238"/>
      <c r="CI66" s="238"/>
      <c r="CJ66" s="238"/>
      <c r="CK66" s="238"/>
      <c r="CL66" s="238"/>
      <c r="CM66" s="238"/>
      <c r="CN66" s="145"/>
      <c r="CO66" s="146"/>
      <c r="CP66" s="147"/>
      <c r="CQ66" s="95"/>
      <c r="CR66" s="239"/>
      <c r="CS66" s="239"/>
      <c r="CT66" s="239"/>
      <c r="CU66" s="239"/>
      <c r="CV66" s="235"/>
      <c r="CW66" s="235"/>
      <c r="CX66" s="235"/>
      <c r="CY66" s="235"/>
      <c r="CZ66" s="235"/>
      <c r="DA66" s="235"/>
      <c r="DB66" s="235"/>
      <c r="DC66" s="235"/>
      <c r="DD66" s="235"/>
      <c r="DE66" s="235"/>
      <c r="DF66" s="48"/>
      <c r="DG66" s="48"/>
      <c r="DH66" s="48"/>
      <c r="DI66" s="48"/>
      <c r="DJ66" s="48"/>
      <c r="DK66" s="48"/>
      <c r="DL66" s="48"/>
      <c r="DM66" s="48"/>
      <c r="DN66" s="80"/>
      <c r="DO66" s="80"/>
      <c r="DP66" s="90"/>
      <c r="DQ66" s="71"/>
      <c r="DR66" s="49"/>
      <c r="DS66" s="49"/>
      <c r="DT66" s="49"/>
      <c r="DU66" s="49"/>
      <c r="DV66" s="49"/>
      <c r="DW66" s="49"/>
      <c r="DX66" s="49"/>
      <c r="DY66" s="49"/>
      <c r="DZ66" s="49"/>
      <c r="EA66" s="49"/>
      <c r="EB66" s="49"/>
      <c r="EC66" s="48"/>
      <c r="ED66" s="48"/>
      <c r="EE66" s="48"/>
      <c r="EF66" s="48"/>
      <c r="EG66" s="66"/>
    </row>
    <row r="67" spans="2:139" ht="30" x14ac:dyDescent="0.25">
      <c r="B67" s="1" t="str">
        <f>Base!I56</f>
        <v>502 réalisation des tests d'intégration</v>
      </c>
      <c r="C67" s="68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74"/>
      <c r="AH67" s="75"/>
      <c r="AI67" s="86"/>
      <c r="AJ67" s="68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74"/>
      <c r="BG67" s="74"/>
      <c r="BH67" s="75"/>
      <c r="BI67" s="86"/>
      <c r="BJ67" s="218"/>
      <c r="BK67" s="219"/>
      <c r="BL67" s="219"/>
      <c r="BM67" s="219"/>
      <c r="BN67" s="219"/>
      <c r="BO67" s="219"/>
      <c r="BP67" s="219"/>
      <c r="BQ67" s="219"/>
      <c r="BR67" s="219"/>
      <c r="BS67" s="219"/>
      <c r="BT67" s="219"/>
      <c r="BU67" s="219"/>
      <c r="BV67" s="220"/>
      <c r="BW67" s="220"/>
      <c r="BX67" s="220"/>
      <c r="BY67" s="220"/>
      <c r="BZ67" s="220"/>
      <c r="CA67" s="220"/>
      <c r="CB67" s="220"/>
      <c r="CC67" s="220"/>
      <c r="CD67" s="220"/>
      <c r="CE67" s="220"/>
      <c r="CF67" s="220"/>
      <c r="CG67" s="220"/>
      <c r="CH67" s="220"/>
      <c r="CI67" s="220"/>
      <c r="CJ67" s="220"/>
      <c r="CK67" s="220"/>
      <c r="CL67" s="220"/>
      <c r="CM67" s="220"/>
      <c r="CN67" s="74"/>
      <c r="CO67" s="75"/>
      <c r="CP67" s="148"/>
      <c r="CQ67" s="96"/>
      <c r="CR67" s="219"/>
      <c r="CS67" s="219"/>
      <c r="CT67" s="219"/>
      <c r="CU67" s="219"/>
      <c r="CV67" s="220"/>
      <c r="CW67" s="220"/>
      <c r="CX67" s="220"/>
      <c r="CY67" s="220"/>
      <c r="CZ67" s="220"/>
      <c r="DA67" s="220"/>
      <c r="DB67" s="220"/>
      <c r="DC67" s="220"/>
      <c r="DD67" s="220"/>
      <c r="DE67" s="220"/>
      <c r="DF67" s="220"/>
      <c r="DG67" s="220"/>
      <c r="DH67" s="220"/>
      <c r="DI67" s="220"/>
      <c r="DJ67" s="220"/>
      <c r="DK67" s="220"/>
      <c r="DL67" s="220"/>
      <c r="DM67" s="220"/>
      <c r="DN67" s="81"/>
      <c r="DO67" s="81"/>
      <c r="DP67" s="91"/>
      <c r="DQ67" s="68"/>
      <c r="DR67" s="43"/>
      <c r="DS67" s="43"/>
      <c r="DT67" s="43"/>
      <c r="DU67" s="43"/>
      <c r="DV67" s="43"/>
      <c r="DW67" s="43"/>
      <c r="DX67" s="43"/>
      <c r="DY67" s="43"/>
      <c r="DZ67" s="43"/>
      <c r="EA67" s="43"/>
      <c r="EB67" s="43"/>
      <c r="EC67" s="42"/>
      <c r="ED67" s="42"/>
      <c r="EE67" s="42"/>
      <c r="EF67" s="42"/>
      <c r="EG67" s="64"/>
    </row>
    <row r="68" spans="2:139" ht="30" x14ac:dyDescent="0.25">
      <c r="B68" s="1" t="str">
        <f>Base!I57</f>
        <v>503 réalisation des tests fonctionnels</v>
      </c>
      <c r="C68" s="68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74"/>
      <c r="AH68" s="75"/>
      <c r="AI68" s="86"/>
      <c r="AJ68" s="68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74"/>
      <c r="BG68" s="74"/>
      <c r="BH68" s="75"/>
      <c r="BI68" s="86"/>
      <c r="BJ68" s="218"/>
      <c r="BK68" s="219"/>
      <c r="BL68" s="219"/>
      <c r="BM68" s="219"/>
      <c r="BN68" s="219"/>
      <c r="BO68" s="219"/>
      <c r="BP68" s="219"/>
      <c r="BQ68" s="219"/>
      <c r="BR68" s="219"/>
      <c r="BS68" s="219"/>
      <c r="BT68" s="219"/>
      <c r="BU68" s="219"/>
      <c r="BV68" s="220"/>
      <c r="BW68" s="220"/>
      <c r="BX68" s="220"/>
      <c r="BY68" s="220"/>
      <c r="BZ68" s="220"/>
      <c r="CA68" s="220"/>
      <c r="CB68" s="220"/>
      <c r="CC68" s="220"/>
      <c r="CD68" s="220"/>
      <c r="CE68" s="220"/>
      <c r="CF68" s="220"/>
      <c r="CG68" s="220"/>
      <c r="CH68" s="220"/>
      <c r="CI68" s="220"/>
      <c r="CJ68" s="220"/>
      <c r="CK68" s="220"/>
      <c r="CL68" s="220"/>
      <c r="CM68" s="220"/>
      <c r="CN68" s="74"/>
      <c r="CO68" s="75"/>
      <c r="CP68" s="148"/>
      <c r="CQ68" s="96"/>
      <c r="CR68" s="219"/>
      <c r="CS68" s="219"/>
      <c r="CT68" s="219"/>
      <c r="CU68" s="219"/>
      <c r="CV68" s="220"/>
      <c r="CW68" s="220"/>
      <c r="CX68" s="220"/>
      <c r="CY68" s="220"/>
      <c r="CZ68" s="220"/>
      <c r="DA68" s="220"/>
      <c r="DB68" s="220"/>
      <c r="DC68" s="220"/>
      <c r="DD68" s="220"/>
      <c r="DE68" s="220"/>
      <c r="DF68" s="220"/>
      <c r="DG68" s="220"/>
      <c r="DH68" s="220"/>
      <c r="DI68" s="220"/>
      <c r="DJ68" s="220"/>
      <c r="DK68" s="220"/>
      <c r="DL68" s="220"/>
      <c r="DM68" s="220"/>
      <c r="DN68" s="81"/>
      <c r="DO68" s="81"/>
      <c r="DP68" s="91"/>
      <c r="DQ68" s="218"/>
      <c r="DR68" s="219"/>
      <c r="DS68" s="219"/>
      <c r="DT68" s="219"/>
      <c r="DU68" s="219"/>
      <c r="DV68" s="43"/>
      <c r="DW68" s="43"/>
      <c r="DX68" s="43"/>
      <c r="DY68" s="43"/>
      <c r="DZ68" s="43"/>
      <c r="EA68" s="43"/>
      <c r="EB68" s="43"/>
      <c r="EC68" s="42"/>
      <c r="ED68" s="42"/>
      <c r="EE68" s="42"/>
      <c r="EF68" s="42"/>
      <c r="EG68" s="64"/>
    </row>
    <row r="69" spans="2:139" ht="30" x14ac:dyDescent="0.25">
      <c r="B69" s="1" t="str">
        <f>Base!I58</f>
        <v>504 mise en forme des résultats des tests</v>
      </c>
      <c r="C69" s="68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74"/>
      <c r="AH69" s="75"/>
      <c r="AI69" s="86"/>
      <c r="AJ69" s="68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2"/>
      <c r="AW69" s="42"/>
      <c r="AX69" s="42"/>
      <c r="AY69" s="42"/>
      <c r="AZ69" s="220"/>
      <c r="BA69" s="220"/>
      <c r="BB69" s="220"/>
      <c r="BC69" s="220"/>
      <c r="BD69" s="220"/>
      <c r="BE69" s="220"/>
      <c r="BF69" s="74"/>
      <c r="BG69" s="74"/>
      <c r="BH69" s="75"/>
      <c r="BI69" s="86"/>
      <c r="BJ69" s="218"/>
      <c r="BK69" s="219"/>
      <c r="BL69" s="219"/>
      <c r="BM69" s="219"/>
      <c r="BN69" s="219"/>
      <c r="BO69" s="219"/>
      <c r="BP69" s="219"/>
      <c r="BQ69" s="219"/>
      <c r="BR69" s="219"/>
      <c r="BS69" s="219"/>
      <c r="BT69" s="219"/>
      <c r="BU69" s="219"/>
      <c r="BV69" s="220"/>
      <c r="BW69" s="220"/>
      <c r="BX69" s="220"/>
      <c r="BY69" s="220"/>
      <c r="BZ69" s="220"/>
      <c r="CA69" s="220"/>
      <c r="CB69" s="220"/>
      <c r="CC69" s="220"/>
      <c r="CD69" s="220"/>
      <c r="CE69" s="220"/>
      <c r="CF69" s="220"/>
      <c r="CG69" s="220"/>
      <c r="CH69" s="220"/>
      <c r="CI69" s="220"/>
      <c r="CJ69" s="220"/>
      <c r="CK69" s="220"/>
      <c r="CL69" s="220"/>
      <c r="CM69" s="220"/>
      <c r="CN69" s="74"/>
      <c r="CO69" s="75"/>
      <c r="CP69" s="148"/>
      <c r="CQ69" s="96"/>
      <c r="CR69" s="219"/>
      <c r="CS69" s="219"/>
      <c r="CT69" s="219"/>
      <c r="CU69" s="219"/>
      <c r="CV69" s="220"/>
      <c r="CW69" s="220"/>
      <c r="CX69" s="220"/>
      <c r="CY69" s="220"/>
      <c r="CZ69" s="220"/>
      <c r="DA69" s="220"/>
      <c r="DB69" s="220"/>
      <c r="DC69" s="220"/>
      <c r="DD69" s="220"/>
      <c r="DE69" s="220"/>
      <c r="DF69" s="220"/>
      <c r="DG69" s="220"/>
      <c r="DH69" s="220"/>
      <c r="DI69" s="220"/>
      <c r="DJ69" s="220"/>
      <c r="DK69" s="220"/>
      <c r="DL69" s="220"/>
      <c r="DM69" s="220"/>
      <c r="DN69" s="81"/>
      <c r="DO69" s="81"/>
      <c r="DP69" s="91"/>
      <c r="DQ69" s="218"/>
      <c r="DR69" s="219"/>
      <c r="DS69" s="219"/>
      <c r="DT69" s="219"/>
      <c r="DU69" s="219"/>
      <c r="DV69" s="213"/>
      <c r="DW69" s="213"/>
      <c r="DX69" s="213"/>
      <c r="DY69" s="43"/>
      <c r="DZ69" s="43"/>
      <c r="EA69" s="43"/>
      <c r="EB69" s="43"/>
      <c r="EC69" s="42"/>
      <c r="ED69" s="42"/>
      <c r="EE69" s="42"/>
      <c r="EF69" s="42"/>
      <c r="EG69" s="64"/>
    </row>
    <row r="70" spans="2:139" x14ac:dyDescent="0.25">
      <c r="B70" s="1" t="str">
        <f>Base!I59</f>
        <v>505 -</v>
      </c>
      <c r="C70" s="68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74"/>
      <c r="AH70" s="75"/>
      <c r="AI70" s="86"/>
      <c r="AJ70" s="68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74"/>
      <c r="BG70" s="74"/>
      <c r="BH70" s="75"/>
      <c r="BI70" s="86"/>
      <c r="BJ70" s="68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74"/>
      <c r="CO70" s="75"/>
      <c r="CP70" s="148"/>
      <c r="CQ70" s="96"/>
      <c r="CR70" s="43"/>
      <c r="CS70" s="43"/>
      <c r="CT70" s="43"/>
      <c r="CU70" s="43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81"/>
      <c r="DO70" s="81"/>
      <c r="DP70" s="91"/>
      <c r="DQ70" s="68"/>
      <c r="DR70" s="43"/>
      <c r="DS70" s="43"/>
      <c r="DT70" s="43"/>
      <c r="DU70" s="43"/>
      <c r="DV70" s="43"/>
      <c r="DW70" s="43"/>
      <c r="DX70" s="43"/>
      <c r="DY70" s="43"/>
      <c r="DZ70" s="43"/>
      <c r="EA70" s="43"/>
      <c r="EB70" s="43"/>
      <c r="EC70" s="42"/>
      <c r="ED70" s="42"/>
      <c r="EE70" s="42"/>
      <c r="EF70" s="42"/>
      <c r="EG70" s="64"/>
    </row>
    <row r="71" spans="2:139" ht="15.75" thickBot="1" x14ac:dyDescent="0.3">
      <c r="B71" s="14" t="str">
        <f>Base!I60</f>
        <v>506 -</v>
      </c>
      <c r="C71" s="69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  <c r="AC71" s="62"/>
      <c r="AD71" s="62"/>
      <c r="AE71" s="62"/>
      <c r="AF71" s="62"/>
      <c r="AG71" s="78"/>
      <c r="AH71" s="79"/>
      <c r="AI71" s="89"/>
      <c r="AJ71" s="69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78"/>
      <c r="BG71" s="78"/>
      <c r="BH71" s="79"/>
      <c r="BI71" s="89"/>
      <c r="BJ71" s="69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2"/>
      <c r="BW71" s="62"/>
      <c r="BX71" s="62"/>
      <c r="BY71" s="62"/>
      <c r="BZ71" s="62"/>
      <c r="CA71" s="62"/>
      <c r="CB71" s="62"/>
      <c r="CC71" s="62"/>
      <c r="CD71" s="62"/>
      <c r="CE71" s="62"/>
      <c r="CF71" s="62"/>
      <c r="CG71" s="62"/>
      <c r="CH71" s="62"/>
      <c r="CI71" s="62"/>
      <c r="CJ71" s="62"/>
      <c r="CK71" s="62"/>
      <c r="CL71" s="62"/>
      <c r="CM71" s="62"/>
      <c r="CN71" s="78"/>
      <c r="CO71" s="79"/>
      <c r="CP71" s="149"/>
      <c r="CQ71" s="98"/>
      <c r="CR71" s="63"/>
      <c r="CS71" s="63"/>
      <c r="CT71" s="63"/>
      <c r="CU71" s="63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62"/>
      <c r="DL71" s="62"/>
      <c r="DM71" s="62"/>
      <c r="DN71" s="83"/>
      <c r="DO71" s="83"/>
      <c r="DP71" s="93"/>
      <c r="DQ71" s="69"/>
      <c r="DR71" s="63"/>
      <c r="DS71" s="63"/>
      <c r="DT71" s="63"/>
      <c r="DU71" s="63"/>
      <c r="DV71" s="63"/>
      <c r="DW71" s="63"/>
      <c r="DX71" s="63"/>
      <c r="DY71" s="63"/>
      <c r="DZ71" s="63"/>
      <c r="EA71" s="63"/>
      <c r="EB71" s="63"/>
      <c r="EC71" s="62"/>
      <c r="ED71" s="62"/>
      <c r="EE71" s="62"/>
      <c r="EF71" s="62"/>
      <c r="EG71" s="67"/>
    </row>
    <row r="72" spans="2:139" ht="15" customHeight="1" x14ac:dyDescent="0.25">
      <c r="B72" s="253" t="str">
        <f>Base!H61</f>
        <v>Réunion</v>
      </c>
      <c r="C72" s="159"/>
      <c r="D72" s="160"/>
      <c r="E72" s="160"/>
      <c r="F72" s="160"/>
      <c r="G72" s="160"/>
      <c r="H72" s="160"/>
      <c r="I72" s="160"/>
      <c r="J72" s="160"/>
      <c r="K72" s="160"/>
      <c r="L72" s="160"/>
      <c r="M72" s="160"/>
      <c r="N72" s="160"/>
      <c r="O72" s="160"/>
      <c r="P72" s="160"/>
      <c r="Q72" s="160"/>
      <c r="R72" s="160"/>
      <c r="S72" s="160"/>
      <c r="T72" s="160"/>
      <c r="U72" s="160"/>
      <c r="V72" s="160"/>
      <c r="W72" s="160"/>
      <c r="X72" s="160"/>
      <c r="Y72" s="160"/>
      <c r="Z72" s="160"/>
      <c r="AA72" s="160"/>
      <c r="AB72" s="160"/>
      <c r="AC72" s="160"/>
      <c r="AD72" s="160"/>
      <c r="AE72" s="160"/>
      <c r="AF72" s="160"/>
      <c r="AG72" s="160"/>
      <c r="AH72" s="160"/>
      <c r="AI72" s="160"/>
      <c r="AJ72" s="160"/>
      <c r="AK72" s="160"/>
      <c r="AL72" s="160"/>
      <c r="AM72" s="160"/>
      <c r="AN72" s="160"/>
      <c r="AO72" s="160"/>
      <c r="AP72" s="160"/>
      <c r="AQ72" s="160"/>
      <c r="AR72" s="160"/>
      <c r="AS72" s="160"/>
      <c r="AT72" s="160"/>
      <c r="AU72" s="160"/>
      <c r="AV72" s="160"/>
      <c r="AW72" s="160"/>
      <c r="AX72" s="160"/>
      <c r="AY72" s="160"/>
      <c r="AZ72" s="160"/>
      <c r="BA72" s="160"/>
      <c r="BB72" s="160"/>
      <c r="BC72" s="160"/>
      <c r="BD72" s="160"/>
      <c r="BE72" s="160"/>
      <c r="BF72" s="160"/>
      <c r="BG72" s="160"/>
      <c r="BH72" s="160"/>
      <c r="BI72" s="160"/>
      <c r="BJ72" s="160"/>
      <c r="BK72" s="160"/>
      <c r="BL72" s="160"/>
      <c r="BM72" s="160"/>
      <c r="BN72" s="160"/>
      <c r="BO72" s="160"/>
      <c r="BP72" s="160"/>
      <c r="BQ72" s="160"/>
      <c r="BR72" s="160"/>
      <c r="BS72" s="160"/>
      <c r="BT72" s="160"/>
      <c r="BU72" s="160"/>
      <c r="BV72" s="160"/>
      <c r="BW72" s="160"/>
      <c r="BX72" s="160"/>
      <c r="BY72" s="160"/>
      <c r="BZ72" s="160"/>
      <c r="CA72" s="160"/>
      <c r="CB72" s="160"/>
      <c r="CC72" s="160"/>
      <c r="CD72" s="160"/>
      <c r="CE72" s="160"/>
      <c r="CF72" s="160"/>
      <c r="CG72" s="160"/>
      <c r="CH72" s="160"/>
      <c r="CI72" s="160"/>
      <c r="CJ72" s="160"/>
      <c r="CK72" s="160"/>
      <c r="CL72" s="160"/>
      <c r="CM72" s="160"/>
      <c r="CN72" s="160"/>
      <c r="CO72" s="160"/>
      <c r="CP72" s="160"/>
      <c r="CQ72" s="160"/>
      <c r="CR72" s="160"/>
      <c r="CS72" s="160"/>
      <c r="CT72" s="160"/>
      <c r="CU72" s="160"/>
      <c r="CV72" s="160"/>
      <c r="CW72" s="160"/>
      <c r="CX72" s="160"/>
      <c r="CY72" s="160"/>
      <c r="CZ72" s="160"/>
      <c r="DA72" s="160"/>
      <c r="DB72" s="160"/>
      <c r="DC72" s="160"/>
      <c r="DD72" s="160"/>
      <c r="DE72" s="160"/>
      <c r="DF72" s="160"/>
      <c r="DG72" s="160"/>
      <c r="DH72" s="160"/>
      <c r="DI72" s="160"/>
      <c r="DJ72" s="160"/>
      <c r="DK72" s="160"/>
      <c r="DL72" s="160"/>
      <c r="DM72" s="160"/>
      <c r="DN72" s="160"/>
      <c r="DO72" s="160"/>
      <c r="DP72" s="160"/>
      <c r="DQ72" s="160"/>
      <c r="DR72" s="160"/>
      <c r="DS72" s="160"/>
      <c r="DT72" s="160"/>
      <c r="DU72" s="160"/>
      <c r="DV72" s="160"/>
      <c r="DW72" s="160"/>
      <c r="DX72" s="160"/>
      <c r="DY72" s="160"/>
      <c r="DZ72" s="160"/>
      <c r="EA72" s="160"/>
      <c r="EB72" s="160"/>
      <c r="EC72" s="160"/>
      <c r="ED72" s="160"/>
      <c r="EE72" s="160"/>
      <c r="EF72" s="160"/>
      <c r="EG72" s="161"/>
    </row>
    <row r="73" spans="2:139" ht="15.75" customHeight="1" thickBot="1" x14ac:dyDescent="0.3">
      <c r="B73" s="254"/>
      <c r="C73" s="162"/>
      <c r="D73" s="163"/>
      <c r="E73" s="163"/>
      <c r="F73" s="163"/>
      <c r="G73" s="163"/>
      <c r="H73" s="163"/>
      <c r="I73" s="163"/>
      <c r="J73" s="163"/>
      <c r="K73" s="163"/>
      <c r="L73" s="163"/>
      <c r="M73" s="163"/>
      <c r="N73" s="163"/>
      <c r="O73" s="163"/>
      <c r="P73" s="163"/>
      <c r="Q73" s="163"/>
      <c r="R73" s="163"/>
      <c r="S73" s="163"/>
      <c r="T73" s="163"/>
      <c r="U73" s="163"/>
      <c r="V73" s="163"/>
      <c r="W73" s="163"/>
      <c r="X73" s="163"/>
      <c r="Y73" s="163"/>
      <c r="Z73" s="163"/>
      <c r="AA73" s="163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  <c r="BB73" s="163"/>
      <c r="BC73" s="163"/>
      <c r="BD73" s="163"/>
      <c r="BE73" s="163"/>
      <c r="BF73" s="163"/>
      <c r="BG73" s="163"/>
      <c r="BH73" s="163"/>
      <c r="BI73" s="163"/>
      <c r="BJ73" s="163"/>
      <c r="BK73" s="163"/>
      <c r="BL73" s="163"/>
      <c r="BM73" s="163"/>
      <c r="BN73" s="163"/>
      <c r="BO73" s="163"/>
      <c r="BP73" s="163"/>
      <c r="BQ73" s="163"/>
      <c r="BR73" s="163"/>
      <c r="BS73" s="163"/>
      <c r="BT73" s="163"/>
      <c r="BU73" s="163"/>
      <c r="BV73" s="163"/>
      <c r="BW73" s="163"/>
      <c r="BX73" s="163"/>
      <c r="BY73" s="163"/>
      <c r="BZ73" s="163"/>
      <c r="CA73" s="163"/>
      <c r="CB73" s="163"/>
      <c r="CC73" s="163"/>
      <c r="CD73" s="163"/>
      <c r="CE73" s="163"/>
      <c r="CF73" s="163"/>
      <c r="CG73" s="163"/>
      <c r="CH73" s="163"/>
      <c r="CI73" s="163"/>
      <c r="CJ73" s="163"/>
      <c r="CK73" s="163"/>
      <c r="CL73" s="163"/>
      <c r="CM73" s="163"/>
      <c r="CN73" s="163"/>
      <c r="CO73" s="163"/>
      <c r="CP73" s="163"/>
      <c r="CQ73" s="163"/>
      <c r="CR73" s="163"/>
      <c r="CS73" s="163"/>
      <c r="CT73" s="163"/>
      <c r="CU73" s="163"/>
      <c r="CV73" s="163"/>
      <c r="CW73" s="163"/>
      <c r="CX73" s="163"/>
      <c r="CY73" s="163"/>
      <c r="CZ73" s="163"/>
      <c r="DA73" s="163"/>
      <c r="DB73" s="163"/>
      <c r="DC73" s="163"/>
      <c r="DD73" s="163"/>
      <c r="DE73" s="163"/>
      <c r="DF73" s="163"/>
      <c r="DG73" s="163"/>
      <c r="DH73" s="163"/>
      <c r="DI73" s="163"/>
      <c r="DJ73" s="163"/>
      <c r="DK73" s="163"/>
      <c r="DL73" s="163"/>
      <c r="DM73" s="163"/>
      <c r="DN73" s="163"/>
      <c r="DO73" s="163"/>
      <c r="DP73" s="163"/>
      <c r="DQ73" s="163"/>
      <c r="DR73" s="163"/>
      <c r="DS73" s="163"/>
      <c r="DT73" s="163"/>
      <c r="DU73" s="163"/>
      <c r="DV73" s="163"/>
      <c r="DW73" s="163"/>
      <c r="DX73" s="163"/>
      <c r="DY73" s="163"/>
      <c r="DZ73" s="163"/>
      <c r="EA73" s="163"/>
      <c r="EB73" s="163"/>
      <c r="EC73" s="163"/>
      <c r="ED73" s="163"/>
      <c r="EE73" s="163"/>
      <c r="EF73" s="163"/>
      <c r="EG73" s="164"/>
    </row>
    <row r="74" spans="2:139" ht="30" x14ac:dyDescent="0.25">
      <c r="B74" s="165" t="str">
        <f>Base!I61</f>
        <v>601 réunion avec monsieur C.Egger, CdP</v>
      </c>
      <c r="C74" s="20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73"/>
      <c r="AH74" s="72"/>
      <c r="AI74" s="88"/>
      <c r="AJ74" s="71"/>
      <c r="AK74" s="49"/>
      <c r="AL74" s="49"/>
      <c r="AM74" s="49"/>
      <c r="AN74" s="49"/>
      <c r="AO74" s="49"/>
      <c r="AP74" s="49"/>
      <c r="AQ74" s="49"/>
      <c r="AR74" s="49"/>
      <c r="AS74" s="49"/>
      <c r="AT74" s="49"/>
      <c r="AU74" s="49"/>
      <c r="AV74" s="48"/>
      <c r="AW74" s="48"/>
      <c r="AX74" s="48"/>
      <c r="AY74" s="48"/>
      <c r="AZ74" s="48"/>
      <c r="BA74" s="48"/>
      <c r="BB74" s="48"/>
      <c r="BC74" s="48"/>
      <c r="BD74" s="48"/>
      <c r="BE74" s="48"/>
      <c r="BF74" s="73"/>
      <c r="BG74" s="73"/>
      <c r="BH74" s="72"/>
      <c r="BI74" s="88"/>
      <c r="BJ74" s="142"/>
      <c r="BK74" s="143"/>
      <c r="BL74" s="143"/>
      <c r="BM74" s="143"/>
      <c r="BN74" s="143"/>
      <c r="BO74" s="143"/>
      <c r="BP74" s="143"/>
      <c r="BQ74" s="143"/>
      <c r="BR74" s="143"/>
      <c r="BS74" s="143"/>
      <c r="BT74" s="143"/>
      <c r="BU74" s="143"/>
      <c r="BV74" s="144"/>
      <c r="BW74" s="144"/>
      <c r="BX74" s="144"/>
      <c r="BY74" s="144"/>
      <c r="BZ74" s="144"/>
      <c r="CA74" s="144"/>
      <c r="CB74" s="144"/>
      <c r="CC74" s="144"/>
      <c r="CD74" s="144"/>
      <c r="CE74" s="144"/>
      <c r="CF74" s="144"/>
      <c r="CG74" s="144"/>
      <c r="CH74" s="144"/>
      <c r="CI74" s="144"/>
      <c r="CJ74" s="144"/>
      <c r="CK74" s="144"/>
      <c r="CL74" s="144"/>
      <c r="CM74" s="144"/>
      <c r="CN74" s="145"/>
      <c r="CO74" s="146"/>
      <c r="CP74" s="147"/>
      <c r="CQ74" s="95"/>
      <c r="CR74" s="49"/>
      <c r="CS74" s="49"/>
      <c r="CT74" s="49"/>
      <c r="CU74" s="49"/>
      <c r="CV74" s="48"/>
      <c r="CW74" s="48"/>
      <c r="CX74" s="48"/>
      <c r="CY74" s="48"/>
      <c r="CZ74" s="48"/>
      <c r="DA74" s="48"/>
      <c r="DB74" s="48"/>
      <c r="DC74" s="48"/>
      <c r="DD74" s="48"/>
      <c r="DE74" s="48"/>
      <c r="DF74" s="48"/>
      <c r="DG74" s="48"/>
      <c r="DH74" s="48"/>
      <c r="DI74" s="48"/>
      <c r="DJ74" s="48"/>
      <c r="DK74" s="48"/>
      <c r="DL74" s="48"/>
      <c r="DM74" s="48"/>
      <c r="DN74" s="80"/>
      <c r="DO74" s="80"/>
      <c r="DP74" s="90"/>
      <c r="DQ74" s="71"/>
      <c r="DR74" s="49"/>
      <c r="DS74" s="49"/>
      <c r="DT74" s="49"/>
      <c r="DU74" s="49"/>
      <c r="DV74" s="49"/>
      <c r="DW74" s="49"/>
      <c r="DX74" s="49"/>
      <c r="DY74" s="49"/>
      <c r="DZ74" s="49"/>
      <c r="EA74" s="49"/>
      <c r="EB74" s="49"/>
      <c r="EC74" s="48"/>
      <c r="ED74" s="48"/>
      <c r="EE74" s="48"/>
      <c r="EF74" s="48"/>
      <c r="EG74" s="66"/>
    </row>
    <row r="75" spans="2:139" ht="30" x14ac:dyDescent="0.25">
      <c r="B75" s="166" t="str">
        <f>Base!I62</f>
        <v>602 réunion avec monsieur G.Gruaz, expert 1</v>
      </c>
      <c r="C75" s="210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74"/>
      <c r="AH75" s="75"/>
      <c r="AI75" s="86"/>
      <c r="AJ75" s="68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74"/>
      <c r="BG75" s="74"/>
      <c r="BH75" s="75"/>
      <c r="BI75" s="86"/>
      <c r="BJ75" s="68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74"/>
      <c r="CO75" s="75"/>
      <c r="CP75" s="148"/>
      <c r="CQ75" s="96"/>
      <c r="CR75" s="43"/>
      <c r="CS75" s="43"/>
      <c r="CT75" s="43"/>
      <c r="CU75" s="43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81"/>
      <c r="DO75" s="81"/>
      <c r="DP75" s="91"/>
      <c r="DQ75" s="68"/>
      <c r="DR75" s="43"/>
      <c r="DS75" s="43"/>
      <c r="DT75" s="43"/>
      <c r="DU75" s="43"/>
      <c r="DV75" s="43"/>
      <c r="DW75" s="43"/>
      <c r="DX75" s="43"/>
      <c r="DY75" s="43"/>
      <c r="DZ75" s="43"/>
      <c r="EA75" s="43"/>
      <c r="EB75" s="43"/>
      <c r="EC75" s="42"/>
      <c r="ED75" s="42"/>
      <c r="EE75" s="42"/>
      <c r="EF75" s="42"/>
      <c r="EG75" s="64"/>
    </row>
    <row r="76" spans="2:139" ht="15" customHeight="1" x14ac:dyDescent="0.25">
      <c r="B76" s="166" t="str">
        <f>Base!I63</f>
        <v>603 réunion avec monsieur A.Roy, expert 2</v>
      </c>
      <c r="C76" s="68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74"/>
      <c r="AH76" s="75"/>
      <c r="AI76" s="86"/>
      <c r="AJ76" s="68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74"/>
      <c r="BG76" s="74"/>
      <c r="BH76" s="75"/>
      <c r="BI76" s="86"/>
      <c r="BJ76" s="68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74"/>
      <c r="CO76" s="75"/>
      <c r="CP76" s="148"/>
      <c r="CQ76" s="96"/>
      <c r="CR76" s="43"/>
      <c r="CS76" s="43"/>
      <c r="CT76" s="43"/>
      <c r="CU76" s="43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81"/>
      <c r="DO76" s="81"/>
      <c r="DP76" s="91"/>
      <c r="DQ76" s="68"/>
      <c r="DR76" s="43"/>
      <c r="DS76" s="43"/>
      <c r="DT76" s="43"/>
      <c r="DU76" s="43"/>
      <c r="DV76" s="43"/>
      <c r="DW76" s="43"/>
      <c r="DX76" s="43"/>
      <c r="DY76" s="43"/>
      <c r="DZ76" s="43"/>
      <c r="EA76" s="43"/>
      <c r="EB76" s="43"/>
      <c r="EC76" s="42"/>
      <c r="ED76" s="42"/>
      <c r="EE76" s="42"/>
      <c r="EF76" s="42"/>
      <c r="EG76" s="64"/>
    </row>
    <row r="77" spans="2:139" ht="30" x14ac:dyDescent="0.25">
      <c r="B77" s="166" t="str">
        <f>Base!I64</f>
        <v>604 réunion avec une personne extérieure</v>
      </c>
      <c r="C77" s="68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74"/>
      <c r="AH77" s="75"/>
      <c r="AI77" s="86"/>
      <c r="AJ77" s="68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74"/>
      <c r="BG77" s="74"/>
      <c r="BH77" s="75"/>
      <c r="BI77" s="86"/>
      <c r="BJ77" s="68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74"/>
      <c r="CO77" s="75"/>
      <c r="CP77" s="148"/>
      <c r="CQ77" s="96"/>
      <c r="CR77" s="43"/>
      <c r="CS77" s="43"/>
      <c r="CT77" s="43"/>
      <c r="CU77" s="43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81"/>
      <c r="DO77" s="81"/>
      <c r="DP77" s="91"/>
      <c r="DQ77" s="68"/>
      <c r="DR77" s="43"/>
      <c r="DS77" s="43"/>
      <c r="DT77" s="43"/>
      <c r="DU77" s="43"/>
      <c r="DV77" s="43"/>
      <c r="DW77" s="43"/>
      <c r="DX77" s="43"/>
      <c r="DY77" s="43"/>
      <c r="DZ77" s="43"/>
      <c r="EA77" s="43"/>
      <c r="EB77" s="43"/>
      <c r="EC77" s="42"/>
      <c r="ED77" s="42"/>
      <c r="EE77" s="42"/>
      <c r="EF77" s="42"/>
      <c r="EG77" s="64"/>
    </row>
    <row r="78" spans="2:139" x14ac:dyDescent="0.25">
      <c r="B78" s="166" t="str">
        <f>Base!I65</f>
        <v>605 -</v>
      </c>
      <c r="C78" s="68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74"/>
      <c r="AH78" s="75"/>
      <c r="AI78" s="86"/>
      <c r="AJ78" s="68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74"/>
      <c r="BG78" s="74"/>
      <c r="BH78" s="75"/>
      <c r="BI78" s="86"/>
      <c r="BJ78" s="68"/>
      <c r="BK78" s="43"/>
      <c r="BL78" s="43"/>
      <c r="BM78" s="43"/>
      <c r="BN78" s="43"/>
      <c r="BO78" s="43"/>
      <c r="BP78" s="43"/>
      <c r="BQ78" s="43"/>
      <c r="BR78" s="43"/>
      <c r="BS78" s="43"/>
      <c r="BT78" s="43"/>
      <c r="BU78" s="43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74"/>
      <c r="CO78" s="75"/>
      <c r="CP78" s="148"/>
      <c r="CQ78" s="96"/>
      <c r="CR78" s="43"/>
      <c r="CS78" s="43"/>
      <c r="CT78" s="43"/>
      <c r="CU78" s="43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81"/>
      <c r="DO78" s="81"/>
      <c r="DP78" s="91"/>
      <c r="DQ78" s="68"/>
      <c r="DR78" s="43"/>
      <c r="DS78" s="43"/>
      <c r="DT78" s="43"/>
      <c r="DU78" s="43"/>
      <c r="DV78" s="43"/>
      <c r="DW78" s="43"/>
      <c r="DX78" s="43"/>
      <c r="DY78" s="43"/>
      <c r="DZ78" s="43"/>
      <c r="EA78" s="43"/>
      <c r="EB78" s="43"/>
      <c r="EC78" s="42"/>
      <c r="ED78" s="42"/>
      <c r="EE78" s="42"/>
      <c r="EF78" s="42"/>
      <c r="EG78" s="64"/>
    </row>
    <row r="79" spans="2:139" ht="15.75" thickBot="1" x14ac:dyDescent="0.3">
      <c r="B79" s="167" t="str">
        <f>Base!I66</f>
        <v>606 -</v>
      </c>
      <c r="C79" s="69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78"/>
      <c r="AH79" s="79"/>
      <c r="AI79" s="89"/>
      <c r="AJ79" s="69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78"/>
      <c r="BG79" s="78"/>
      <c r="BH79" s="79"/>
      <c r="BI79" s="89"/>
      <c r="BJ79" s="69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2"/>
      <c r="BW79" s="62"/>
      <c r="BX79" s="62"/>
      <c r="BY79" s="62"/>
      <c r="BZ79" s="62"/>
      <c r="CA79" s="62"/>
      <c r="CB79" s="62"/>
      <c r="CC79" s="62"/>
      <c r="CD79" s="62"/>
      <c r="CE79" s="62"/>
      <c r="CF79" s="62"/>
      <c r="CG79" s="62"/>
      <c r="CH79" s="62"/>
      <c r="CI79" s="62"/>
      <c r="CJ79" s="62"/>
      <c r="CK79" s="62"/>
      <c r="CL79" s="62"/>
      <c r="CM79" s="62"/>
      <c r="CN79" s="78"/>
      <c r="CO79" s="79"/>
      <c r="CP79" s="149"/>
      <c r="CQ79" s="98"/>
      <c r="CR79" s="63"/>
      <c r="CS79" s="63"/>
      <c r="CT79" s="63"/>
      <c r="CU79" s="63"/>
      <c r="CV79" s="62"/>
      <c r="CW79" s="62"/>
      <c r="CX79" s="62"/>
      <c r="CY79" s="62"/>
      <c r="CZ79" s="62"/>
      <c r="DA79" s="62"/>
      <c r="DB79" s="62"/>
      <c r="DC79" s="62"/>
      <c r="DD79" s="62"/>
      <c r="DE79" s="62"/>
      <c r="DF79" s="62"/>
      <c r="DG79" s="62"/>
      <c r="DH79" s="62"/>
      <c r="DI79" s="62"/>
      <c r="DJ79" s="62"/>
      <c r="DK79" s="62"/>
      <c r="DL79" s="62"/>
      <c r="DM79" s="62"/>
      <c r="DN79" s="83"/>
      <c r="DO79" s="83"/>
      <c r="DP79" s="93"/>
      <c r="DQ79" s="69"/>
      <c r="DR79" s="63"/>
      <c r="DS79" s="63"/>
      <c r="DT79" s="63"/>
      <c r="DU79" s="63"/>
      <c r="DV79" s="63"/>
      <c r="DW79" s="63"/>
      <c r="DX79" s="63"/>
      <c r="DY79" s="63"/>
      <c r="DZ79" s="63"/>
      <c r="EA79" s="63"/>
      <c r="EB79" s="63"/>
      <c r="EC79" s="62"/>
      <c r="ED79" s="62"/>
      <c r="EE79" s="62"/>
      <c r="EF79" s="62"/>
      <c r="EG79" s="67"/>
    </row>
    <row r="80" spans="2:139" x14ac:dyDescent="0.25">
      <c r="EB80" s="175"/>
      <c r="EC80" s="175"/>
      <c r="ED80" s="175"/>
      <c r="EE80" s="175"/>
      <c r="EF80" s="175"/>
      <c r="EG80" s="175"/>
      <c r="EH80" s="35"/>
      <c r="EI80" s="35"/>
    </row>
    <row r="81" spans="3:139" x14ac:dyDescent="0.25">
      <c r="C81" s="202"/>
      <c r="D81" s="43"/>
      <c r="G81" s="205" t="s">
        <v>76</v>
      </c>
      <c r="H81" s="205"/>
      <c r="I81" s="205"/>
      <c r="J81" s="205"/>
      <c r="K81" s="205"/>
      <c r="L81" s="205"/>
      <c r="M81" s="205"/>
      <c r="N81" s="205"/>
      <c r="O81" s="205"/>
      <c r="P81" s="205"/>
      <c r="Q81" s="205"/>
      <c r="R81" s="205"/>
      <c r="S81" s="205"/>
      <c r="T81" s="205"/>
      <c r="U81" s="205"/>
      <c r="V81" s="205"/>
      <c r="W81" s="205"/>
      <c r="X81" s="205"/>
      <c r="Y81" s="205"/>
      <c r="Z81" s="205"/>
      <c r="AA81" s="205"/>
      <c r="AB81" s="205"/>
      <c r="AC81" s="205"/>
      <c r="AD81" s="205"/>
      <c r="AE81" s="205"/>
      <c r="AF81" s="205"/>
      <c r="AG81" s="205"/>
      <c r="AH81" s="205"/>
      <c r="AI81" s="205"/>
      <c r="EH81" s="35"/>
      <c r="EI81" s="35"/>
    </row>
    <row r="82" spans="3:139" x14ac:dyDescent="0.25">
      <c r="EH82" s="35"/>
      <c r="EI82" s="35"/>
    </row>
    <row r="83" spans="3:139" x14ac:dyDescent="0.25">
      <c r="D83" s="204"/>
      <c r="G83" s="205" t="s">
        <v>77</v>
      </c>
      <c r="H83" s="205"/>
      <c r="I83" s="205"/>
      <c r="J83" s="205"/>
      <c r="K83" s="205"/>
      <c r="L83" s="205"/>
      <c r="M83" s="205"/>
      <c r="N83" s="205"/>
      <c r="O83" s="205"/>
      <c r="P83" s="205"/>
      <c r="Q83" s="205"/>
      <c r="R83" s="205"/>
      <c r="S83" s="205"/>
      <c r="T83" s="205"/>
      <c r="U83" s="205"/>
      <c r="V83" s="205"/>
      <c r="W83" s="205"/>
      <c r="X83" s="205"/>
      <c r="Y83" s="205"/>
      <c r="Z83" s="205"/>
      <c r="AA83" s="205"/>
      <c r="AB83" s="205"/>
      <c r="AC83" s="205"/>
      <c r="AD83" s="205"/>
      <c r="AE83" s="205"/>
      <c r="AF83" s="205"/>
      <c r="AG83" s="205"/>
      <c r="AH83" s="205"/>
      <c r="AI83" s="205"/>
      <c r="EH83" s="35"/>
      <c r="EI83" s="35"/>
    </row>
    <row r="84" spans="3:139" x14ac:dyDescent="0.25">
      <c r="EH84" s="35"/>
      <c r="EI84" s="35"/>
    </row>
    <row r="85" spans="3:139" x14ac:dyDescent="0.25">
      <c r="EH85" s="35"/>
      <c r="EI85" s="35"/>
    </row>
    <row r="86" spans="3:139" x14ac:dyDescent="0.25">
      <c r="EH86" s="35"/>
      <c r="EI86" s="35"/>
    </row>
    <row r="87" spans="3:139" x14ac:dyDescent="0.25">
      <c r="EH87" s="35"/>
      <c r="EI87" s="35"/>
    </row>
    <row r="88" spans="3:139" x14ac:dyDescent="0.25">
      <c r="EH88" s="35"/>
      <c r="EI88" s="35"/>
    </row>
    <row r="89" spans="3:139" x14ac:dyDescent="0.25">
      <c r="EH89" s="35"/>
      <c r="EI89" s="35"/>
    </row>
    <row r="90" spans="3:139" x14ac:dyDescent="0.25">
      <c r="EH90" s="35"/>
      <c r="EI90" s="35"/>
    </row>
    <row r="91" spans="3:139" x14ac:dyDescent="0.25">
      <c r="EH91" s="35"/>
      <c r="EI91" s="35"/>
    </row>
    <row r="92" spans="3:139" x14ac:dyDescent="0.25">
      <c r="EH92" s="35"/>
      <c r="EI92" s="35"/>
    </row>
    <row r="93" spans="3:139" x14ac:dyDescent="0.25">
      <c r="EH93" s="35"/>
      <c r="EI93" s="35"/>
    </row>
  </sheetData>
  <mergeCells count="30">
    <mergeCell ref="G83:AI83"/>
    <mergeCell ref="G81:AI81"/>
    <mergeCell ref="B72:B73"/>
    <mergeCell ref="ED3:EG3"/>
    <mergeCell ref="CR3:CV3"/>
    <mergeCell ref="CW3:DE3"/>
    <mergeCell ref="DF3:DM3"/>
    <mergeCell ref="DQ3:DX3"/>
    <mergeCell ref="DY3:EC3"/>
    <mergeCell ref="BJ3:BQ3"/>
    <mergeCell ref="BR3:BV3"/>
    <mergeCell ref="BW3:CE3"/>
    <mergeCell ref="CF3:CM3"/>
    <mergeCell ref="BJ4:CP4"/>
    <mergeCell ref="AR3:AV3"/>
    <mergeCell ref="AW3:BE3"/>
    <mergeCell ref="AJ4:BI4"/>
    <mergeCell ref="C3:J3"/>
    <mergeCell ref="K3:O3"/>
    <mergeCell ref="P3:X3"/>
    <mergeCell ref="Y3:AF3"/>
    <mergeCell ref="AJ3:AQ3"/>
    <mergeCell ref="DQ4:EG4"/>
    <mergeCell ref="B56:B57"/>
    <mergeCell ref="B64:B65"/>
    <mergeCell ref="C4:AI4"/>
    <mergeCell ref="CQ4:DP4"/>
    <mergeCell ref="B13:B14"/>
    <mergeCell ref="B5:B6"/>
    <mergeCell ref="B31:B32"/>
  </mergeCells>
  <pageMargins left="0.7" right="0.7" top="0.75" bottom="0.75" header="0.3" footer="0.3"/>
  <pageSetup paperSize="9" scale="3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4" tint="0.79998168889431442"/>
    <pageSetUpPr fitToPage="1"/>
  </sheetPr>
  <dimension ref="B1:H59"/>
  <sheetViews>
    <sheetView showGridLines="0" tabSelected="1" zoomScale="85" zoomScaleNormal="85" workbookViewId="0">
      <selection activeCell="H9" sqref="H9"/>
    </sheetView>
  </sheetViews>
  <sheetFormatPr baseColWidth="10" defaultColWidth="11.42578125" defaultRowHeight="15" x14ac:dyDescent="0.25"/>
  <cols>
    <col min="1" max="1" width="2" style="18" customWidth="1"/>
    <col min="2" max="2" width="10.28515625" style="131" bestFit="1" customWidth="1"/>
    <col min="3" max="3" width="8.7109375" style="20" hidden="1" customWidth="1"/>
    <col min="4" max="4" width="32" style="20" customWidth="1"/>
    <col min="5" max="5" width="14.85546875" style="20" customWidth="1"/>
    <col min="6" max="6" width="12" style="20" customWidth="1"/>
    <col min="7" max="7" width="9.7109375" style="20" customWidth="1"/>
    <col min="8" max="8" width="85.7109375" style="23" customWidth="1"/>
    <col min="9" max="16384" width="11.42578125" style="18"/>
  </cols>
  <sheetData>
    <row r="1" spans="2:8" x14ac:dyDescent="0.25">
      <c r="C1" s="19" t="s">
        <v>2</v>
      </c>
      <c r="D1" s="199" t="str">
        <f>CONCATENATE(Base!C6," ",Base!D6)</f>
        <v>Costa Paola</v>
      </c>
      <c r="E1" s="199"/>
      <c r="G1" s="21" t="s">
        <v>29</v>
      </c>
      <c r="H1" s="186">
        <f ca="1">TODAY()</f>
        <v>44319</v>
      </c>
    </row>
    <row r="2" spans="2:8" ht="42.75" customHeight="1" thickBot="1" x14ac:dyDescent="0.3">
      <c r="B2" s="200" t="s">
        <v>10</v>
      </c>
      <c r="C2" s="200"/>
      <c r="D2" s="200"/>
      <c r="E2" s="200"/>
      <c r="F2" s="200"/>
      <c r="G2" s="200"/>
      <c r="H2" s="200"/>
    </row>
    <row r="3" spans="2:8" s="130" customFormat="1" ht="15.75" thickBot="1" x14ac:dyDescent="0.3">
      <c r="B3" s="132" t="s">
        <v>0</v>
      </c>
      <c r="C3" s="127" t="s">
        <v>9</v>
      </c>
      <c r="D3" s="127" t="s">
        <v>41</v>
      </c>
      <c r="E3" s="128" t="s">
        <v>30</v>
      </c>
      <c r="F3" s="128" t="s">
        <v>31</v>
      </c>
      <c r="G3" s="134" t="s">
        <v>32</v>
      </c>
      <c r="H3" s="129" t="s">
        <v>1</v>
      </c>
    </row>
    <row r="4" spans="2:8" ht="30" x14ac:dyDescent="0.25">
      <c r="B4" s="183">
        <v>44319</v>
      </c>
      <c r="C4" s="138">
        <f>IF(ISBLANK(B4),"",_xlfn.ISOWEEKNUM(B4))</f>
        <v>18</v>
      </c>
      <c r="D4" s="22" t="s">
        <v>68</v>
      </c>
      <c r="E4" s="228">
        <v>0.37152777777777773</v>
      </c>
      <c r="F4" s="226">
        <v>0.3888888888888889</v>
      </c>
      <c r="G4" s="135">
        <f>F4-E4</f>
        <v>1.736111111111116E-2</v>
      </c>
      <c r="H4" s="136" t="s">
        <v>109</v>
      </c>
    </row>
    <row r="5" spans="2:8" ht="45" x14ac:dyDescent="0.25">
      <c r="B5" s="183">
        <v>44319</v>
      </c>
      <c r="C5" s="138">
        <f t="shared" ref="C5:C52" si="0">IF(ISBLANK(B5),"",_xlfn.ISOWEEKNUM(B5))</f>
        <v>18</v>
      </c>
      <c r="D5" s="22" t="s">
        <v>67</v>
      </c>
      <c r="E5" s="227">
        <v>0.3888888888888889</v>
      </c>
      <c r="F5" s="226">
        <v>0.39930555555555558</v>
      </c>
      <c r="G5" s="135">
        <f t="shared" ref="G5:G52" si="1">F5-E5</f>
        <v>1.0416666666666685E-2</v>
      </c>
      <c r="H5" s="136" t="s">
        <v>110</v>
      </c>
    </row>
    <row r="6" spans="2:8" ht="30" x14ac:dyDescent="0.25">
      <c r="B6" s="183">
        <v>44319</v>
      </c>
      <c r="C6" s="138">
        <f t="shared" si="0"/>
        <v>18</v>
      </c>
      <c r="D6" s="22" t="s">
        <v>102</v>
      </c>
      <c r="E6" s="226">
        <v>0.41180555555555554</v>
      </c>
      <c r="F6" s="226">
        <v>0.4548611111111111</v>
      </c>
      <c r="G6" s="135">
        <f t="shared" si="1"/>
        <v>4.3055555555555569E-2</v>
      </c>
      <c r="H6" s="136" t="s">
        <v>112</v>
      </c>
    </row>
    <row r="7" spans="2:8" x14ac:dyDescent="0.25">
      <c r="B7" s="183">
        <v>44319</v>
      </c>
      <c r="C7" s="138">
        <f t="shared" si="0"/>
        <v>18</v>
      </c>
      <c r="D7" s="22" t="s">
        <v>54</v>
      </c>
      <c r="E7" s="226">
        <v>0.4548611111111111</v>
      </c>
      <c r="F7" s="226">
        <v>0.45833333333333331</v>
      </c>
      <c r="G7" s="135">
        <f t="shared" si="1"/>
        <v>3.4722222222222099E-3</v>
      </c>
      <c r="H7" s="136" t="s">
        <v>113</v>
      </c>
    </row>
    <row r="8" spans="2:8" x14ac:dyDescent="0.25">
      <c r="B8" s="183">
        <v>44319</v>
      </c>
      <c r="C8" s="138">
        <f t="shared" si="0"/>
        <v>18</v>
      </c>
      <c r="D8" s="22" t="s">
        <v>57</v>
      </c>
      <c r="E8" s="226">
        <v>0.45833333333333331</v>
      </c>
      <c r="F8" s="226">
        <v>0.48958333333333331</v>
      </c>
      <c r="G8" s="135">
        <f t="shared" si="1"/>
        <v>3.125E-2</v>
      </c>
      <c r="H8" s="136" t="s">
        <v>114</v>
      </c>
    </row>
    <row r="9" spans="2:8" ht="45" x14ac:dyDescent="0.25">
      <c r="B9" s="183">
        <v>44319</v>
      </c>
      <c r="C9" s="138">
        <f t="shared" si="0"/>
        <v>18</v>
      </c>
      <c r="D9" s="22" t="s">
        <v>80</v>
      </c>
      <c r="E9" s="226">
        <v>0.48958333333333331</v>
      </c>
      <c r="F9" s="226">
        <v>0.51041666666666663</v>
      </c>
      <c r="G9" s="135">
        <f t="shared" si="1"/>
        <v>2.0833333333333315E-2</v>
      </c>
      <c r="H9" s="136" t="s">
        <v>117</v>
      </c>
    </row>
    <row r="10" spans="2:8" x14ac:dyDescent="0.25">
      <c r="B10" s="183"/>
      <c r="C10" s="138" t="str">
        <f t="shared" si="0"/>
        <v/>
      </c>
      <c r="D10" s="22"/>
      <c r="E10" s="226"/>
      <c r="F10" s="226"/>
      <c r="G10" s="135">
        <f t="shared" si="1"/>
        <v>0</v>
      </c>
      <c r="H10" s="136"/>
    </row>
    <row r="11" spans="2:8" x14ac:dyDescent="0.25">
      <c r="B11" s="183"/>
      <c r="C11" s="138" t="str">
        <f t="shared" si="0"/>
        <v/>
      </c>
      <c r="D11" s="22"/>
      <c r="E11" s="226"/>
      <c r="F11" s="226"/>
      <c r="G11" s="135">
        <f t="shared" si="1"/>
        <v>0</v>
      </c>
      <c r="H11" s="136"/>
    </row>
    <row r="12" spans="2:8" x14ac:dyDescent="0.25">
      <c r="B12" s="183"/>
      <c r="C12" s="138" t="str">
        <f t="shared" si="0"/>
        <v/>
      </c>
      <c r="D12" s="22"/>
      <c r="E12" s="226"/>
      <c r="F12" s="226"/>
      <c r="G12" s="135">
        <f t="shared" si="1"/>
        <v>0</v>
      </c>
      <c r="H12" s="136"/>
    </row>
    <row r="13" spans="2:8" x14ac:dyDescent="0.25">
      <c r="B13" s="183"/>
      <c r="C13" s="138" t="str">
        <f t="shared" si="0"/>
        <v/>
      </c>
      <c r="D13" s="22"/>
      <c r="E13" s="226"/>
      <c r="F13" s="226"/>
      <c r="G13" s="135">
        <f t="shared" si="1"/>
        <v>0</v>
      </c>
      <c r="H13" s="136"/>
    </row>
    <row r="14" spans="2:8" x14ac:dyDescent="0.25">
      <c r="B14" s="183"/>
      <c r="C14" s="138" t="str">
        <f t="shared" si="0"/>
        <v/>
      </c>
      <c r="D14" s="22"/>
      <c r="E14" s="226"/>
      <c r="F14" s="226"/>
      <c r="G14" s="135">
        <f t="shared" si="1"/>
        <v>0</v>
      </c>
      <c r="H14" s="136"/>
    </row>
    <row r="15" spans="2:8" x14ac:dyDescent="0.25">
      <c r="B15" s="183"/>
      <c r="C15" s="138" t="str">
        <f t="shared" si="0"/>
        <v/>
      </c>
      <c r="D15" s="22"/>
      <c r="E15" s="226"/>
      <c r="F15" s="226"/>
      <c r="G15" s="135">
        <f t="shared" si="1"/>
        <v>0</v>
      </c>
      <c r="H15" s="136"/>
    </row>
    <row r="16" spans="2:8" x14ac:dyDescent="0.25">
      <c r="B16" s="183"/>
      <c r="C16" s="138" t="str">
        <f t="shared" si="0"/>
        <v/>
      </c>
      <c r="D16" s="22"/>
      <c r="E16" s="226"/>
      <c r="F16" s="226"/>
      <c r="G16" s="135">
        <f t="shared" si="1"/>
        <v>0</v>
      </c>
      <c r="H16" s="136"/>
    </row>
    <row r="17" spans="2:8" x14ac:dyDescent="0.25">
      <c r="B17" s="183"/>
      <c r="C17" s="138" t="str">
        <f t="shared" si="0"/>
        <v/>
      </c>
      <c r="D17" s="22"/>
      <c r="E17" s="226"/>
      <c r="F17" s="226"/>
      <c r="G17" s="135">
        <f t="shared" si="1"/>
        <v>0</v>
      </c>
      <c r="H17" s="136"/>
    </row>
    <row r="18" spans="2:8" x14ac:dyDescent="0.25">
      <c r="B18" s="183"/>
      <c r="C18" s="138" t="str">
        <f t="shared" si="0"/>
        <v/>
      </c>
      <c r="D18" s="22"/>
      <c r="E18" s="226"/>
      <c r="F18" s="226"/>
      <c r="G18" s="135">
        <f t="shared" si="1"/>
        <v>0</v>
      </c>
      <c r="H18" s="136"/>
    </row>
    <row r="19" spans="2:8" x14ac:dyDescent="0.25">
      <c r="B19" s="183"/>
      <c r="C19" s="138" t="str">
        <f t="shared" si="0"/>
        <v/>
      </c>
      <c r="D19" s="22"/>
      <c r="E19" s="226"/>
      <c r="F19" s="226"/>
      <c r="G19" s="135">
        <f t="shared" si="1"/>
        <v>0</v>
      </c>
      <c r="H19" s="136"/>
    </row>
    <row r="20" spans="2:8" x14ac:dyDescent="0.25">
      <c r="B20" s="183"/>
      <c r="C20" s="138" t="str">
        <f t="shared" si="0"/>
        <v/>
      </c>
      <c r="D20" s="22"/>
      <c r="E20" s="226"/>
      <c r="F20" s="226"/>
      <c r="G20" s="135">
        <f t="shared" si="1"/>
        <v>0</v>
      </c>
      <c r="H20" s="136"/>
    </row>
    <row r="21" spans="2:8" x14ac:dyDescent="0.25">
      <c r="B21" s="183"/>
      <c r="C21" s="138" t="str">
        <f t="shared" si="0"/>
        <v/>
      </c>
      <c r="D21" s="22"/>
      <c r="E21" s="226"/>
      <c r="F21" s="226"/>
      <c r="G21" s="135">
        <f t="shared" si="1"/>
        <v>0</v>
      </c>
      <c r="H21" s="136"/>
    </row>
    <row r="22" spans="2:8" x14ac:dyDescent="0.25">
      <c r="B22" s="183"/>
      <c r="C22" s="138" t="str">
        <f t="shared" si="0"/>
        <v/>
      </c>
      <c r="D22" s="22"/>
      <c r="E22" s="226"/>
      <c r="F22" s="226"/>
      <c r="G22" s="135">
        <f t="shared" si="1"/>
        <v>0</v>
      </c>
      <c r="H22" s="136"/>
    </row>
    <row r="23" spans="2:8" x14ac:dyDescent="0.25">
      <c r="B23" s="183"/>
      <c r="C23" s="138" t="str">
        <f t="shared" si="0"/>
        <v/>
      </c>
      <c r="D23" s="22"/>
      <c r="E23" s="226"/>
      <c r="F23" s="226"/>
      <c r="G23" s="135">
        <f t="shared" si="1"/>
        <v>0</v>
      </c>
      <c r="H23" s="136"/>
    </row>
    <row r="24" spans="2:8" x14ac:dyDescent="0.25">
      <c r="B24" s="183"/>
      <c r="C24" s="138" t="str">
        <f t="shared" si="0"/>
        <v/>
      </c>
      <c r="D24" s="22"/>
      <c r="E24" s="226"/>
      <c r="F24" s="226"/>
      <c r="G24" s="135">
        <f t="shared" si="1"/>
        <v>0</v>
      </c>
      <c r="H24" s="136"/>
    </row>
    <row r="25" spans="2:8" x14ac:dyDescent="0.25">
      <c r="B25" s="183"/>
      <c r="C25" s="138" t="str">
        <f t="shared" si="0"/>
        <v/>
      </c>
      <c r="D25" s="22"/>
      <c r="E25" s="226"/>
      <c r="F25" s="226"/>
      <c r="G25" s="135">
        <f t="shared" si="1"/>
        <v>0</v>
      </c>
      <c r="H25" s="136"/>
    </row>
    <row r="26" spans="2:8" x14ac:dyDescent="0.25">
      <c r="B26" s="183"/>
      <c r="C26" s="138" t="str">
        <f t="shared" si="0"/>
        <v/>
      </c>
      <c r="D26" s="22"/>
      <c r="E26" s="226"/>
      <c r="F26" s="226"/>
      <c r="G26" s="135">
        <f t="shared" si="1"/>
        <v>0</v>
      </c>
      <c r="H26" s="136"/>
    </row>
    <row r="27" spans="2:8" x14ac:dyDescent="0.25">
      <c r="B27" s="183"/>
      <c r="C27" s="138" t="str">
        <f t="shared" si="0"/>
        <v/>
      </c>
      <c r="D27" s="22"/>
      <c r="E27" s="226"/>
      <c r="F27" s="226"/>
      <c r="G27" s="135">
        <f t="shared" si="1"/>
        <v>0</v>
      </c>
      <c r="H27" s="136"/>
    </row>
    <row r="28" spans="2:8" x14ac:dyDescent="0.25">
      <c r="B28" s="183"/>
      <c r="C28" s="138" t="str">
        <f t="shared" si="0"/>
        <v/>
      </c>
      <c r="D28" s="22"/>
      <c r="E28" s="226"/>
      <c r="F28" s="226"/>
      <c r="G28" s="135">
        <f t="shared" si="1"/>
        <v>0</v>
      </c>
      <c r="H28" s="136"/>
    </row>
    <row r="29" spans="2:8" x14ac:dyDescent="0.25">
      <c r="B29" s="183"/>
      <c r="C29" s="138" t="str">
        <f t="shared" si="0"/>
        <v/>
      </c>
      <c r="D29" s="22"/>
      <c r="E29" s="226"/>
      <c r="F29" s="226"/>
      <c r="G29" s="135">
        <f t="shared" si="1"/>
        <v>0</v>
      </c>
      <c r="H29" s="136"/>
    </row>
    <row r="30" spans="2:8" x14ac:dyDescent="0.25">
      <c r="B30" s="183"/>
      <c r="C30" s="138" t="str">
        <f t="shared" si="0"/>
        <v/>
      </c>
      <c r="D30" s="22"/>
      <c r="E30" s="226"/>
      <c r="F30" s="226"/>
      <c r="G30" s="135">
        <f t="shared" si="1"/>
        <v>0</v>
      </c>
      <c r="H30" s="136"/>
    </row>
    <row r="31" spans="2:8" x14ac:dyDescent="0.25">
      <c r="B31" s="183"/>
      <c r="C31" s="138" t="str">
        <f t="shared" si="0"/>
        <v/>
      </c>
      <c r="D31" s="22"/>
      <c r="E31" s="226"/>
      <c r="F31" s="226"/>
      <c r="G31" s="135">
        <f t="shared" si="1"/>
        <v>0</v>
      </c>
      <c r="H31" s="136"/>
    </row>
    <row r="32" spans="2:8" x14ac:dyDescent="0.25">
      <c r="B32" s="183"/>
      <c r="C32" s="138" t="str">
        <f t="shared" si="0"/>
        <v/>
      </c>
      <c r="D32" s="22"/>
      <c r="E32" s="226"/>
      <c r="F32" s="226"/>
      <c r="G32" s="135">
        <f t="shared" si="1"/>
        <v>0</v>
      </c>
      <c r="H32" s="136"/>
    </row>
    <row r="33" spans="2:8" x14ac:dyDescent="0.25">
      <c r="B33" s="183"/>
      <c r="C33" s="138" t="str">
        <f t="shared" si="0"/>
        <v/>
      </c>
      <c r="D33" s="22"/>
      <c r="E33" s="226"/>
      <c r="F33" s="226"/>
      <c r="G33" s="135">
        <f t="shared" si="1"/>
        <v>0</v>
      </c>
      <c r="H33" s="136"/>
    </row>
    <row r="34" spans="2:8" x14ac:dyDescent="0.25">
      <c r="B34" s="183"/>
      <c r="C34" s="138" t="str">
        <f t="shared" si="0"/>
        <v/>
      </c>
      <c r="D34" s="22"/>
      <c r="E34" s="226"/>
      <c r="F34" s="226"/>
      <c r="G34" s="135">
        <f t="shared" si="1"/>
        <v>0</v>
      </c>
      <c r="H34" s="136"/>
    </row>
    <row r="35" spans="2:8" x14ac:dyDescent="0.25">
      <c r="B35" s="183"/>
      <c r="C35" s="138" t="str">
        <f t="shared" si="0"/>
        <v/>
      </c>
      <c r="D35" s="22"/>
      <c r="E35" s="226"/>
      <c r="F35" s="226"/>
      <c r="G35" s="135">
        <f t="shared" si="1"/>
        <v>0</v>
      </c>
      <c r="H35" s="136"/>
    </row>
    <row r="36" spans="2:8" x14ac:dyDescent="0.25">
      <c r="B36" s="183"/>
      <c r="C36" s="138" t="str">
        <f t="shared" si="0"/>
        <v/>
      </c>
      <c r="D36" s="22"/>
      <c r="E36" s="226"/>
      <c r="F36" s="226"/>
      <c r="G36" s="135">
        <f t="shared" si="1"/>
        <v>0</v>
      </c>
      <c r="H36" s="136"/>
    </row>
    <row r="37" spans="2:8" x14ac:dyDescent="0.25">
      <c r="B37" s="183"/>
      <c r="C37" s="138" t="str">
        <f t="shared" si="0"/>
        <v/>
      </c>
      <c r="D37" s="22"/>
      <c r="E37" s="226"/>
      <c r="F37" s="226"/>
      <c r="G37" s="135">
        <f t="shared" si="1"/>
        <v>0</v>
      </c>
      <c r="H37" s="136"/>
    </row>
    <row r="38" spans="2:8" x14ac:dyDescent="0.25">
      <c r="B38" s="183"/>
      <c r="C38" s="138" t="str">
        <f t="shared" si="0"/>
        <v/>
      </c>
      <c r="D38" s="22"/>
      <c r="E38" s="226"/>
      <c r="F38" s="226"/>
      <c r="G38" s="135">
        <f t="shared" si="1"/>
        <v>0</v>
      </c>
      <c r="H38" s="136"/>
    </row>
    <row r="39" spans="2:8" x14ac:dyDescent="0.25">
      <c r="B39" s="183"/>
      <c r="C39" s="138" t="str">
        <f t="shared" si="0"/>
        <v/>
      </c>
      <c r="D39" s="22"/>
      <c r="E39" s="226"/>
      <c r="F39" s="226"/>
      <c r="G39" s="135">
        <f t="shared" si="1"/>
        <v>0</v>
      </c>
      <c r="H39" s="136"/>
    </row>
    <row r="40" spans="2:8" x14ac:dyDescent="0.25">
      <c r="B40" s="183"/>
      <c r="C40" s="138" t="str">
        <f t="shared" si="0"/>
        <v/>
      </c>
      <c r="D40" s="22"/>
      <c r="E40" s="226"/>
      <c r="F40" s="226"/>
      <c r="G40" s="135">
        <f t="shared" si="1"/>
        <v>0</v>
      </c>
      <c r="H40" s="136"/>
    </row>
    <row r="41" spans="2:8" x14ac:dyDescent="0.25">
      <c r="B41" s="183"/>
      <c r="C41" s="138" t="str">
        <f t="shared" si="0"/>
        <v/>
      </c>
      <c r="D41" s="22"/>
      <c r="E41" s="226"/>
      <c r="F41" s="226"/>
      <c r="G41" s="135">
        <f t="shared" si="1"/>
        <v>0</v>
      </c>
      <c r="H41" s="136"/>
    </row>
    <row r="42" spans="2:8" x14ac:dyDescent="0.25">
      <c r="B42" s="183"/>
      <c r="C42" s="138" t="str">
        <f t="shared" si="0"/>
        <v/>
      </c>
      <c r="D42" s="22"/>
      <c r="E42" s="226"/>
      <c r="F42" s="226"/>
      <c r="G42" s="135">
        <f t="shared" si="1"/>
        <v>0</v>
      </c>
      <c r="H42" s="136"/>
    </row>
    <row r="43" spans="2:8" x14ac:dyDescent="0.25">
      <c r="B43" s="183"/>
      <c r="C43" s="138" t="str">
        <f t="shared" si="0"/>
        <v/>
      </c>
      <c r="D43" s="22"/>
      <c r="E43" s="226"/>
      <c r="F43" s="226"/>
      <c r="G43" s="135">
        <f t="shared" si="1"/>
        <v>0</v>
      </c>
      <c r="H43" s="136"/>
    </row>
    <row r="44" spans="2:8" x14ac:dyDescent="0.25">
      <c r="B44" s="183"/>
      <c r="C44" s="138" t="str">
        <f t="shared" si="0"/>
        <v/>
      </c>
      <c r="D44" s="22"/>
      <c r="E44" s="226"/>
      <c r="F44" s="226"/>
      <c r="G44" s="135">
        <f t="shared" si="1"/>
        <v>0</v>
      </c>
      <c r="H44" s="136"/>
    </row>
    <row r="45" spans="2:8" x14ac:dyDescent="0.25">
      <c r="B45" s="183"/>
      <c r="C45" s="138" t="str">
        <f t="shared" si="0"/>
        <v/>
      </c>
      <c r="D45" s="22"/>
      <c r="E45" s="226"/>
      <c r="F45" s="226"/>
      <c r="G45" s="135">
        <f t="shared" si="1"/>
        <v>0</v>
      </c>
      <c r="H45" s="136"/>
    </row>
    <row r="46" spans="2:8" x14ac:dyDescent="0.25">
      <c r="B46" s="183"/>
      <c r="C46" s="138" t="str">
        <f t="shared" si="0"/>
        <v/>
      </c>
      <c r="D46" s="22"/>
      <c r="E46" s="226"/>
      <c r="F46" s="226"/>
      <c r="G46" s="135">
        <f t="shared" si="1"/>
        <v>0</v>
      </c>
      <c r="H46" s="136"/>
    </row>
    <row r="47" spans="2:8" x14ac:dyDescent="0.25">
      <c r="B47" s="183"/>
      <c r="C47" s="138" t="str">
        <f t="shared" si="0"/>
        <v/>
      </c>
      <c r="D47" s="22"/>
      <c r="E47" s="226"/>
      <c r="F47" s="226"/>
      <c r="G47" s="135">
        <f t="shared" si="1"/>
        <v>0</v>
      </c>
      <c r="H47" s="136"/>
    </row>
    <row r="48" spans="2:8" x14ac:dyDescent="0.25">
      <c r="B48" s="183"/>
      <c r="C48" s="138" t="str">
        <f t="shared" si="0"/>
        <v/>
      </c>
      <c r="D48" s="22"/>
      <c r="E48" s="226"/>
      <c r="F48" s="226"/>
      <c r="G48" s="135">
        <f t="shared" si="1"/>
        <v>0</v>
      </c>
      <c r="H48" s="136"/>
    </row>
    <row r="49" spans="2:8" x14ac:dyDescent="0.25">
      <c r="B49" s="183"/>
      <c r="C49" s="138" t="str">
        <f t="shared" si="0"/>
        <v/>
      </c>
      <c r="D49" s="22"/>
      <c r="E49" s="226"/>
      <c r="F49" s="226"/>
      <c r="G49" s="135">
        <f t="shared" si="1"/>
        <v>0</v>
      </c>
      <c r="H49" s="136"/>
    </row>
    <row r="50" spans="2:8" x14ac:dyDescent="0.25">
      <c r="B50" s="183"/>
      <c r="C50" s="138" t="str">
        <f t="shared" si="0"/>
        <v/>
      </c>
      <c r="D50" s="22"/>
      <c r="E50" s="226"/>
      <c r="F50" s="226"/>
      <c r="G50" s="135">
        <f t="shared" si="1"/>
        <v>0</v>
      </c>
      <c r="H50" s="136"/>
    </row>
    <row r="51" spans="2:8" x14ac:dyDescent="0.25">
      <c r="B51" s="183"/>
      <c r="C51" s="138" t="str">
        <f t="shared" si="0"/>
        <v/>
      </c>
      <c r="D51" s="22"/>
      <c r="E51" s="226"/>
      <c r="F51" s="226"/>
      <c r="G51" s="135">
        <f t="shared" si="1"/>
        <v>0</v>
      </c>
      <c r="H51" s="136"/>
    </row>
    <row r="52" spans="2:8" x14ac:dyDescent="0.25">
      <c r="B52" s="183"/>
      <c r="C52" s="138" t="str">
        <f t="shared" si="0"/>
        <v/>
      </c>
      <c r="D52" s="22"/>
      <c r="E52" s="226"/>
      <c r="F52" s="226"/>
      <c r="G52" s="135">
        <f t="shared" si="1"/>
        <v>0</v>
      </c>
      <c r="H52" s="136"/>
    </row>
    <row r="54" spans="2:8" ht="15" customHeight="1" x14ac:dyDescent="0.25">
      <c r="F54" s="184" t="s">
        <v>48</v>
      </c>
      <c r="G54" s="185">
        <f>SUM(G4:G52)</f>
        <v>0.12638888888888894</v>
      </c>
    </row>
    <row r="55" spans="2:8" ht="15" customHeight="1" x14ac:dyDescent="0.25">
      <c r="F55" s="184" t="s">
        <v>49</v>
      </c>
      <c r="G55" s="185">
        <f>SUMIF($C$4:$C$52,18,$G$4:$G$52)</f>
        <v>0.12638888888888894</v>
      </c>
    </row>
    <row r="56" spans="2:8" ht="15" customHeight="1" x14ac:dyDescent="0.25">
      <c r="F56" s="184" t="s">
        <v>50</v>
      </c>
      <c r="G56" s="185">
        <f>SUMIF($C$4:$C$52,19,$G$4:$G$52)</f>
        <v>0</v>
      </c>
    </row>
    <row r="57" spans="2:8" ht="15" customHeight="1" x14ac:dyDescent="0.25">
      <c r="F57" s="184" t="s">
        <v>51</v>
      </c>
      <c r="G57" s="185">
        <f>SUMIF($C$4:$C$52,20,$G$4:$G$52)</f>
        <v>0</v>
      </c>
    </row>
    <row r="58" spans="2:8" ht="15" customHeight="1" x14ac:dyDescent="0.25">
      <c r="F58" s="184" t="s">
        <v>52</v>
      </c>
      <c r="G58" s="185">
        <f>SUMIF($C$4:$C$52,21,$G$4:$G$52)</f>
        <v>0</v>
      </c>
    </row>
    <row r="59" spans="2:8" ht="15" customHeight="1" x14ac:dyDescent="0.25">
      <c r="F59" s="184" t="s">
        <v>53</v>
      </c>
      <c r="G59" s="185">
        <f>SUMIF($C$4:$C$52,22,$G$4:$G$52)</f>
        <v>0</v>
      </c>
    </row>
  </sheetData>
  <sheetProtection sheet="1" objects="1" scenarios="1"/>
  <mergeCells count="2">
    <mergeCell ref="D1:E1"/>
    <mergeCell ref="B2:H2"/>
  </mergeCells>
  <conditionalFormatting sqref="F1 E53:F53 F3:F4 E60:F1048576">
    <cfRule type="containsText" dxfId="11" priority="15" operator="containsText" text="En cours">
      <formula>NOT(ISERROR(SEARCH("En cours",E1)))</formula>
    </cfRule>
    <cfRule type="containsText" dxfId="10" priority="16" operator="containsText" text="Terminé">
      <formula>NOT(ISERROR(SEARCH("Terminé",E1)))</formula>
    </cfRule>
  </conditionalFormatting>
  <conditionalFormatting sqref="E5:F5">
    <cfRule type="containsText" dxfId="9" priority="7" operator="containsText" text="En cours">
      <formula>NOT(ISERROR(SEARCH("En cours",E5)))</formula>
    </cfRule>
    <cfRule type="containsText" dxfId="8" priority="8" operator="containsText" text="Terminé">
      <formula>NOT(ISERROR(SEARCH("Terminé",E5)))</formula>
    </cfRule>
  </conditionalFormatting>
  <conditionalFormatting sqref="E8:F52">
    <cfRule type="containsText" dxfId="7" priority="5" operator="containsText" text="En cours">
      <formula>NOT(ISERROR(SEARCH("En cours",E8)))</formula>
    </cfRule>
    <cfRule type="containsText" dxfId="6" priority="6" operator="containsText" text="Terminé">
      <formula>NOT(ISERROR(SEARCH("Terminé",E8)))</formula>
    </cfRule>
  </conditionalFormatting>
  <conditionalFormatting sqref="E6:F7">
    <cfRule type="containsText" dxfId="5" priority="3" operator="containsText" text="En cours">
      <formula>NOT(ISERROR(SEARCH("En cours",E6)))</formula>
    </cfRule>
    <cfRule type="containsText" dxfId="4" priority="4" operator="containsText" text="Terminé">
      <formula>NOT(ISERROR(SEARCH("Terminé",E6)))</formula>
    </cfRule>
  </conditionalFormatting>
  <conditionalFormatting sqref="E3">
    <cfRule type="containsText" dxfId="3" priority="1" operator="containsText" text="En cours">
      <formula>NOT(ISERROR(SEARCH("En cours",E3)))</formula>
    </cfRule>
    <cfRule type="containsText" dxfId="2" priority="2" operator="containsText" text="Terminé">
      <formula>NOT(ISERROR(SEARCH("Terminé",E3)))</formula>
    </cfRule>
  </conditionalFormatting>
  <dataValidations count="1">
    <dataValidation allowBlank="1" sqref="B61:B1048576 F54:F59 B1:B53"/>
  </dataValidations>
  <pageMargins left="0.70866141732283472" right="0.70866141732283472" top="0.74803149606299213" bottom="0.74803149606299213" header="0.31496062992125984" footer="0.31496062992125984"/>
  <pageSetup paperSize="9" scale="77" fitToHeight="0" orientation="landscape" r:id="rId1"/>
  <headerFooter>
    <oddFooter>Page &amp;P de 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Base!$I$4:$I$66</xm:f>
          </x14:formula1>
          <xm:sqref>D4:D52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1DC7E"/>
    <pageSetUpPr fitToPage="1"/>
  </sheetPr>
  <dimension ref="B1:D66"/>
  <sheetViews>
    <sheetView showGridLines="0" topLeftCell="A46" zoomScale="85" zoomScaleNormal="85" workbookViewId="0">
      <selection activeCell="F4" sqref="F4"/>
    </sheetView>
  </sheetViews>
  <sheetFormatPr baseColWidth="10" defaultColWidth="11.42578125" defaultRowHeight="15" x14ac:dyDescent="0.25"/>
  <cols>
    <col min="1" max="1" width="2" style="18" customWidth="1"/>
    <col min="2" max="2" width="57.140625" style="23" customWidth="1"/>
    <col min="3" max="4" width="11.42578125" style="23" customWidth="1"/>
    <col min="5" max="16384" width="11.42578125" style="18"/>
  </cols>
  <sheetData>
    <row r="1" spans="2:4" ht="15" customHeight="1" x14ac:dyDescent="0.25">
      <c r="B1" s="21"/>
      <c r="C1" s="21"/>
      <c r="D1" s="24"/>
    </row>
    <row r="2" spans="2:4" ht="29.25" customHeight="1" thickBot="1" x14ac:dyDescent="0.3">
      <c r="B2" s="201" t="s">
        <v>46</v>
      </c>
      <c r="C2" s="201"/>
      <c r="D2" s="201"/>
    </row>
    <row r="3" spans="2:4" s="130" customFormat="1" x14ac:dyDescent="0.25">
      <c r="B3" s="172" t="s">
        <v>41</v>
      </c>
      <c r="C3" s="172" t="s">
        <v>32</v>
      </c>
      <c r="D3" s="137" t="s">
        <v>42</v>
      </c>
    </row>
    <row r="4" spans="2:4" x14ac:dyDescent="0.25">
      <c r="B4" s="179" t="str">
        <f>Base!I4</f>
        <v>101 planification initiale</v>
      </c>
      <c r="C4" s="173">
        <f>SUMIF(Journal!$D$4:$D$52,B4,Journal!$G$4:$G$52)</f>
        <v>3.125E-2</v>
      </c>
      <c r="D4" s="180" t="s">
        <v>107</v>
      </c>
    </row>
    <row r="5" spans="2:4" x14ac:dyDescent="0.25">
      <c r="B5" s="179" t="str">
        <f>Base!I5</f>
        <v>102 objectifs du projet</v>
      </c>
      <c r="C5" s="173">
        <f>SUMIF(Journal!$D$4:$D$52,B5,Journal!$G$4:$G$52)</f>
        <v>0</v>
      </c>
      <c r="D5" s="180"/>
    </row>
    <row r="6" spans="2:4" x14ac:dyDescent="0.25">
      <c r="B6" s="179" t="str">
        <f>Base!I6</f>
        <v>103 introduction du projet</v>
      </c>
      <c r="C6" s="173">
        <f>SUMIF(Journal!$D$4:$D$52,B6,Journal!$G$4:$G$52)</f>
        <v>0</v>
      </c>
      <c r="D6" s="180"/>
    </row>
    <row r="7" spans="2:4" x14ac:dyDescent="0.25">
      <c r="B7" s="179" t="str">
        <f>Base!I7</f>
        <v>104 découpage du projet en tâches distinctes</v>
      </c>
      <c r="C7" s="173">
        <f>SUMIF(Journal!$D$4:$D$52,B7,Journal!$G$4:$G$52)</f>
        <v>4.3055555555555569E-2</v>
      </c>
      <c r="D7" s="180" t="s">
        <v>111</v>
      </c>
    </row>
    <row r="8" spans="2:4" x14ac:dyDescent="0.25">
      <c r="B8" s="179" t="str">
        <f>Base!I8</f>
        <v>105 -</v>
      </c>
      <c r="C8" s="173">
        <f>SUMIF(Journal!$D$4:$D$52,B8,Journal!$G$4:$G$52)</f>
        <v>0</v>
      </c>
      <c r="D8" s="180"/>
    </row>
    <row r="9" spans="2:4" x14ac:dyDescent="0.25">
      <c r="B9" s="179" t="str">
        <f>Base!I9</f>
        <v>106 -</v>
      </c>
      <c r="C9" s="173">
        <f>SUMIF(Journal!$D$4:$D$52,B9,Journal!$G$4:$G$52)</f>
        <v>0</v>
      </c>
      <c r="D9" s="180"/>
    </row>
    <row r="10" spans="2:4" x14ac:dyDescent="0.25">
      <c r="B10" s="179" t="str">
        <f>Base!I10</f>
        <v>201 choix de l'architecture</v>
      </c>
      <c r="C10" s="173">
        <f>SUMIF(Journal!$D$4:$D$52,B10,Journal!$G$4:$G$52)</f>
        <v>0</v>
      </c>
      <c r="D10" s="180"/>
    </row>
    <row r="11" spans="2:4" x14ac:dyDescent="0.25">
      <c r="B11" s="179" t="str">
        <f>Base!I11</f>
        <v>202 modélisation conceptuelle de la BDD</v>
      </c>
      <c r="C11" s="173">
        <f>SUMIF(Journal!$D$4:$D$52,B11,Journal!$G$4:$G$52)</f>
        <v>0</v>
      </c>
      <c r="D11" s="180"/>
    </row>
    <row r="12" spans="2:4" x14ac:dyDescent="0.25">
      <c r="B12" s="179" t="str">
        <f>Base!I12</f>
        <v>203 modélisation logique de la BDD</v>
      </c>
      <c r="C12" s="173">
        <f>SUMIF(Journal!$D$4:$D$52,B12,Journal!$G$4:$G$52)</f>
        <v>0</v>
      </c>
      <c r="D12" s="180"/>
    </row>
    <row r="13" spans="2:4" x14ac:dyDescent="0.25">
      <c r="B13" s="179" t="str">
        <f>Base!I13</f>
        <v>204 maquettes de l'application</v>
      </c>
      <c r="C13" s="173">
        <f>SUMIF(Journal!$D$4:$D$52,B13,Journal!$G$4:$G$52)</f>
        <v>0</v>
      </c>
      <c r="D13" s="180"/>
    </row>
    <row r="14" spans="2:4" x14ac:dyDescent="0.25">
      <c r="B14" s="179" t="str">
        <f>Base!I14</f>
        <v>205 diagrammes de flux</v>
      </c>
      <c r="C14" s="173">
        <f>SUMIF(Journal!$D$4:$D$52,B14,Journal!$G$4:$G$52)</f>
        <v>0</v>
      </c>
      <c r="D14" s="180"/>
    </row>
    <row r="15" spans="2:4" x14ac:dyDescent="0.25">
      <c r="B15" s="179" t="str">
        <f>Base!I15</f>
        <v>206 cas d'utilisation de l'application</v>
      </c>
      <c r="C15" s="173">
        <f>SUMIF(Journal!$D$4:$D$52,B15,Journal!$G$4:$G$52)</f>
        <v>0</v>
      </c>
      <c r="D15" s="180"/>
    </row>
    <row r="16" spans="2:4" x14ac:dyDescent="0.25">
      <c r="B16" s="179" t="str">
        <f>Base!I16</f>
        <v>207 scénarios de l'application</v>
      </c>
      <c r="C16" s="173">
        <f>SUMIF(Journal!$D$4:$D$52,B16,Journal!$G$4:$G$52)</f>
        <v>0</v>
      </c>
      <c r="D16" s="180"/>
    </row>
    <row r="17" spans="2:4" x14ac:dyDescent="0.25">
      <c r="B17" s="179" t="str">
        <f>Base!I17</f>
        <v>208 diagrammes de classe</v>
      </c>
      <c r="C17" s="173">
        <f>SUMIF(Journal!$D$4:$D$52,B17,Journal!$G$4:$G$52)</f>
        <v>0</v>
      </c>
      <c r="D17" s="180"/>
    </row>
    <row r="18" spans="2:4" x14ac:dyDescent="0.25">
      <c r="B18" s="179" t="str">
        <f>Base!I18</f>
        <v>209 schéma de navigation de l'application</v>
      </c>
      <c r="C18" s="173">
        <f>SUMIF(Journal!$D$4:$D$52,B18,Journal!$G$4:$G$52)</f>
        <v>0</v>
      </c>
      <c r="D18" s="180"/>
    </row>
    <row r="19" spans="2:4" x14ac:dyDescent="0.25">
      <c r="B19" s="179" t="str">
        <f>Base!I19</f>
        <v>210 fonctionnalités du projet</v>
      </c>
      <c r="C19" s="173">
        <f>SUMIF(Journal!$D$4:$D$52,B19,Journal!$G$4:$G$52)</f>
        <v>0</v>
      </c>
      <c r="D19" s="180"/>
    </row>
    <row r="20" spans="2:4" x14ac:dyDescent="0.25">
      <c r="B20" s="179" t="str">
        <f>Base!I20</f>
        <v>211 déclaration du cadre du projet</v>
      </c>
      <c r="C20" s="173">
        <f>SUMIF(Journal!$D$4:$D$52,B20,Journal!$G$4:$G$52)</f>
        <v>0</v>
      </c>
      <c r="D20" s="180"/>
    </row>
    <row r="21" spans="2:4" x14ac:dyDescent="0.25">
      <c r="B21" s="179" t="str">
        <f>Base!I21</f>
        <v>212 rédaction des risques techniques détectés</v>
      </c>
      <c r="C21" s="173">
        <f>SUMIF(Journal!$D$4:$D$52,B21,Journal!$G$4:$G$52)</f>
        <v>0</v>
      </c>
      <c r="D21" s="180"/>
    </row>
    <row r="22" spans="2:4" x14ac:dyDescent="0.25">
      <c r="B22" s="179" t="str">
        <f>Base!I22</f>
        <v>213 planification définitive</v>
      </c>
      <c r="C22" s="173">
        <f>SUMIF(Journal!$D$4:$D$52,B22,Journal!$G$4:$G$52)</f>
        <v>0</v>
      </c>
      <c r="D22" s="180"/>
    </row>
    <row r="23" spans="2:4" x14ac:dyDescent="0.25">
      <c r="B23" s="179" t="str">
        <f>Base!I23</f>
        <v>214 recherche sur l'impression depuis l'application</v>
      </c>
      <c r="C23" s="173">
        <f>SUMIF(Journal!$D$4:$D$52,B23,Journal!$G$4:$G$52)</f>
        <v>0</v>
      </c>
      <c r="D23" s="180"/>
    </row>
    <row r="24" spans="2:4" x14ac:dyDescent="0.25">
      <c r="B24" s="179" t="str">
        <f>Base!I24</f>
        <v>215 -</v>
      </c>
      <c r="C24" s="173">
        <f>SUMIF(Journal!$D$4:$D$52,B24,Journal!$G$4:$G$52)</f>
        <v>0</v>
      </c>
      <c r="D24" s="180"/>
    </row>
    <row r="25" spans="2:4" x14ac:dyDescent="0.25">
      <c r="B25" s="179" t="str">
        <f>Base!I25</f>
        <v>216 -</v>
      </c>
      <c r="C25" s="173">
        <f>SUMIF(Journal!$D$4:$D$52,B25,Journal!$G$4:$G$52)</f>
        <v>0</v>
      </c>
      <c r="D25" s="180"/>
    </row>
    <row r="26" spans="2:4" x14ac:dyDescent="0.25">
      <c r="B26" s="179" t="str">
        <f>Base!I26</f>
        <v>300 mise en place de la BDD</v>
      </c>
      <c r="C26" s="173">
        <f>SUMIF(Journal!$D$4:$D$52,B26,Journal!$G$4:$G$52)</f>
        <v>0</v>
      </c>
      <c r="D26" s="180"/>
    </row>
    <row r="27" spans="2:4" x14ac:dyDescent="0.25">
      <c r="B27" s="179" t="str">
        <f>Base!I27</f>
        <v>301 réaliser la partie graphique de l'application</v>
      </c>
      <c r="C27" s="173">
        <f>SUMIF(Journal!$D$4:$D$52,B27,Journal!$G$4:$G$52)</f>
        <v>0</v>
      </c>
      <c r="D27" s="180"/>
    </row>
    <row r="28" spans="2:4" x14ac:dyDescent="0.25">
      <c r="B28" s="179" t="str">
        <f>Base!I28</f>
        <v>302 mettre en place la connexion à la BDD</v>
      </c>
      <c r="C28" s="173">
        <f>SUMIF(Journal!$D$4:$D$52,B28,Journal!$G$4:$G$52)</f>
        <v>0</v>
      </c>
      <c r="D28" s="180"/>
    </row>
    <row r="29" spans="2:4" x14ac:dyDescent="0.25">
      <c r="B29" s="179" t="str">
        <f>Base!I29</f>
        <v>303 mettre en place la classe "bouteille"</v>
      </c>
      <c r="C29" s="173">
        <f>SUMIF(Journal!$D$4:$D$52,B29,Journal!$G$4:$G$52)</f>
        <v>0</v>
      </c>
      <c r="D29" s="180"/>
    </row>
    <row r="30" spans="2:4" x14ac:dyDescent="0.25">
      <c r="B30" s="179" t="str">
        <f>Base!I30</f>
        <v>304 mettre en place la classe "casier"</v>
      </c>
      <c r="C30" s="173">
        <f>SUMIF(Journal!$D$4:$D$52,B30,Journal!$G$4:$G$52)</f>
        <v>0</v>
      </c>
      <c r="D30" s="180"/>
    </row>
    <row r="31" spans="2:4" x14ac:dyDescent="0.25">
      <c r="B31" s="179" t="str">
        <f>Base!I31</f>
        <v>305 implémenter l'ajout de bouteilles</v>
      </c>
      <c r="C31" s="173">
        <f>SUMIF(Journal!$D$4:$D$52,B31,Journal!$G$4:$G$52)</f>
        <v>0</v>
      </c>
      <c r="D31" s="180"/>
    </row>
    <row r="32" spans="2:4" x14ac:dyDescent="0.25">
      <c r="B32" s="179" t="str">
        <f>Base!I32</f>
        <v>306 implémenter le retrait de bouteilles</v>
      </c>
      <c r="C32" s="173">
        <f>SUMIF(Journal!$D$4:$D$52,B32,Journal!$G$4:$G$52)</f>
        <v>0</v>
      </c>
      <c r="D32" s="180"/>
    </row>
    <row r="33" spans="2:4" x14ac:dyDescent="0.25">
      <c r="B33" s="179" t="str">
        <f>Base!I33</f>
        <v>307 implémenter l'historisation des actions effectuées</v>
      </c>
      <c r="C33" s="173">
        <f>SUMIF(Journal!$D$4:$D$52,B33,Journal!$G$4:$G$52)</f>
        <v>0</v>
      </c>
      <c r="D33" s="180"/>
    </row>
    <row r="34" spans="2:4" x14ac:dyDescent="0.25">
      <c r="B34" s="179" t="str">
        <f>Base!I34</f>
        <v>308 implémenter la recherche par mot-clé</v>
      </c>
      <c r="C34" s="173">
        <f>SUMIF(Journal!$D$4:$D$52,B34,Journal!$G$4:$G$52)</f>
        <v>0</v>
      </c>
      <c r="D34" s="180"/>
    </row>
    <row r="35" spans="2:4" x14ac:dyDescent="0.25">
      <c r="B35" s="179" t="str">
        <f>Base!I35</f>
        <v>309 implémenter la recherche par couleur de robe</v>
      </c>
      <c r="C35" s="173">
        <f>SUMIF(Journal!$D$4:$D$52,B35,Journal!$G$4:$G$52)</f>
        <v>0</v>
      </c>
      <c r="D35" s="180"/>
    </row>
    <row r="36" spans="2:4" x14ac:dyDescent="0.25">
      <c r="B36" s="179" t="str">
        <f>Base!I36</f>
        <v>310 implémenter la recherche par cépage</v>
      </c>
      <c r="C36" s="173">
        <f>SUMIF(Journal!$D$4:$D$52,B36,Journal!$G$4:$G$52)</f>
        <v>0</v>
      </c>
      <c r="D36" s="180"/>
    </row>
    <row r="37" spans="2:4" x14ac:dyDescent="0.25">
      <c r="B37" s="179" t="str">
        <f>Base!I37</f>
        <v>311 implémenter la recherche par vigneron</v>
      </c>
      <c r="C37" s="173">
        <f>SUMIF(Journal!$D$4:$D$52,B37,Journal!$G$4:$G$52)</f>
        <v>0</v>
      </c>
      <c r="D37" s="180"/>
    </row>
    <row r="38" spans="2:4" x14ac:dyDescent="0.25">
      <c r="B38" s="179" t="str">
        <f>Base!I38</f>
        <v>312 implémenter la recherche par pays</v>
      </c>
      <c r="C38" s="173">
        <f>SUMIF(Journal!$D$4:$D$52,B38,Journal!$G$4:$G$52)</f>
        <v>0</v>
      </c>
      <c r="D38" s="180"/>
    </row>
    <row r="39" spans="2:4" x14ac:dyDescent="0.25">
      <c r="B39" s="179" t="str">
        <f>Base!I39</f>
        <v>313 implémenter l'export d'une liste triée par PDF</v>
      </c>
      <c r="C39" s="173">
        <f>SUMIF(Journal!$D$4:$D$52,B39,Journal!$G$4:$G$52)</f>
        <v>0</v>
      </c>
      <c r="D39" s="180"/>
    </row>
    <row r="40" spans="2:4" x14ac:dyDescent="0.25">
      <c r="B40" s="179" t="str">
        <f>Base!I40</f>
        <v>314 implémenter l'ajout de casiers</v>
      </c>
      <c r="C40" s="173">
        <f>SUMIF(Journal!$D$4:$D$52,B40,Journal!$G$4:$G$52)</f>
        <v>0</v>
      </c>
      <c r="D40" s="180"/>
    </row>
    <row r="41" spans="2:4" x14ac:dyDescent="0.25">
      <c r="B41" s="179" t="str">
        <f>Base!I41</f>
        <v>315 implémenter le retrait de casiers</v>
      </c>
      <c r="C41" s="173">
        <f>SUMIF(Journal!$D$4:$D$52,B41,Journal!$G$4:$G$52)</f>
        <v>0</v>
      </c>
      <c r="D41" s="180"/>
    </row>
    <row r="42" spans="2:4" x14ac:dyDescent="0.25">
      <c r="B42" s="179" t="str">
        <f>Base!I42</f>
        <v>316 implémenter une alerte sur éléments spécifiques</v>
      </c>
      <c r="C42" s="173">
        <f>SUMIF(Journal!$D$4:$D$52,B42,Journal!$G$4:$G$52)</f>
        <v>0</v>
      </c>
      <c r="D42" s="180"/>
    </row>
    <row r="43" spans="2:4" x14ac:dyDescent="0.25">
      <c r="B43" s="179" t="str">
        <f>Base!I43</f>
        <v>317 implémenter l'impression d'une liste triée</v>
      </c>
      <c r="C43" s="173">
        <f>SUMIF(Journal!$D$4:$D$52,B43,Journal!$G$4:$G$52)</f>
        <v>0</v>
      </c>
      <c r="D43" s="180"/>
    </row>
    <row r="44" spans="2:4" x14ac:dyDescent="0.25">
      <c r="B44" s="179" t="str">
        <f>Base!I44</f>
        <v xml:space="preserve">318 - </v>
      </c>
      <c r="C44" s="173">
        <f>SUMIF(Journal!$D$4:$D$52,B44,Journal!$G$4:$G$52)</f>
        <v>0</v>
      </c>
      <c r="D44" s="180"/>
    </row>
    <row r="45" spans="2:4" x14ac:dyDescent="0.25">
      <c r="B45" s="179" t="str">
        <f>Base!I45</f>
        <v xml:space="preserve">319 - </v>
      </c>
      <c r="C45" s="173">
        <f>SUMIF(Journal!$D$4:$D$52,B45,Journal!$G$4:$G$52)</f>
        <v>0</v>
      </c>
      <c r="D45" s="180"/>
    </row>
    <row r="46" spans="2:4" x14ac:dyDescent="0.25">
      <c r="B46" s="179" t="str">
        <f>Base!I46</f>
        <v xml:space="preserve">320 - </v>
      </c>
      <c r="C46" s="173">
        <f>SUMIF(Journal!$D$4:$D$52,B46,Journal!$G$4:$G$52)</f>
        <v>0</v>
      </c>
      <c r="D46" s="180"/>
    </row>
    <row r="47" spans="2:4" x14ac:dyDescent="0.25">
      <c r="B47" s="179" t="str">
        <f>Base!I47</f>
        <v xml:space="preserve">321 - </v>
      </c>
      <c r="C47" s="173">
        <f>SUMIF(Journal!$D$4:$D$52,B47,Journal!$G$4:$G$52)</f>
        <v>0</v>
      </c>
      <c r="D47" s="180"/>
    </row>
    <row r="48" spans="2:4" x14ac:dyDescent="0.25">
      <c r="B48" s="179" t="str">
        <f>Base!I48</f>
        <v xml:space="preserve">322 - </v>
      </c>
      <c r="C48" s="173">
        <f>SUMIF(Journal!$D$4:$D$52,B48,Journal!$G$4:$G$52)</f>
        <v>0</v>
      </c>
      <c r="D48" s="180"/>
    </row>
    <row r="49" spans="2:4" x14ac:dyDescent="0.25">
      <c r="B49" s="179" t="str">
        <f>Base!I49</f>
        <v>401 mise en forme du rapport de projet</v>
      </c>
      <c r="C49" s="173">
        <f>SUMIF(Journal!$D$4:$D$52,B49,Journal!$G$4:$G$52)</f>
        <v>0</v>
      </c>
      <c r="D49" s="180"/>
    </row>
    <row r="50" spans="2:4" x14ac:dyDescent="0.25">
      <c r="B50" s="179" t="str">
        <f>Base!I50</f>
        <v>402 journal de travail</v>
      </c>
      <c r="C50" s="173">
        <f>SUMIF(Journal!$D$4:$D$52,B50,Journal!$G$4:$G$52)</f>
        <v>3.4722222222222099E-3</v>
      </c>
      <c r="D50" s="180"/>
    </row>
    <row r="51" spans="2:4" x14ac:dyDescent="0.25">
      <c r="B51" s="179" t="str">
        <f>Base!I51</f>
        <v>403 procédure d'installation</v>
      </c>
      <c r="C51" s="173">
        <f>SUMIF(Journal!$D$4:$D$52,B51,Journal!$G$4:$G$52)</f>
        <v>0</v>
      </c>
      <c r="D51" s="180"/>
    </row>
    <row r="52" spans="2:4" x14ac:dyDescent="0.25">
      <c r="B52" s="179" t="str">
        <f>Base!I52</f>
        <v>404 procédure de test</v>
      </c>
      <c r="C52" s="173">
        <f>SUMIF(Journal!$D$4:$D$52,B52,Journal!$G$4:$G$52)</f>
        <v>0</v>
      </c>
      <c r="D52" s="180"/>
    </row>
    <row r="53" spans="2:4" x14ac:dyDescent="0.25">
      <c r="B53" s="179" t="str">
        <f>Base!I53</f>
        <v>405 mise en place du GitHub</v>
      </c>
      <c r="C53" s="173">
        <f>SUMIF(Journal!$D$4:$D$52,B53,Journal!$G$4:$G$52)</f>
        <v>2.0833333333333315E-2</v>
      </c>
      <c r="D53" s="180"/>
    </row>
    <row r="54" spans="2:4" x14ac:dyDescent="0.25">
      <c r="B54" s="179" t="str">
        <f>Base!I54</f>
        <v>406 envoi de l'avancée au CdP et aux experts</v>
      </c>
      <c r="C54" s="173">
        <f>SUMIF(Journal!$D$4:$D$52,B54,Journal!$G$4:$G$52)</f>
        <v>0</v>
      </c>
      <c r="D54" s="180"/>
    </row>
    <row r="55" spans="2:4" x14ac:dyDescent="0.25">
      <c r="B55" s="179" t="str">
        <f>Base!I55</f>
        <v>501 réalisation des tests unitaires</v>
      </c>
      <c r="C55" s="173">
        <f>SUMIF(Journal!$D$4:$D$52,B55,Journal!$G$4:$G$52)</f>
        <v>0</v>
      </c>
      <c r="D55" s="180"/>
    </row>
    <row r="56" spans="2:4" x14ac:dyDescent="0.25">
      <c r="B56" s="179" t="str">
        <f>Base!I56</f>
        <v>502 réalisation des tests d'intégration</v>
      </c>
      <c r="C56" s="173">
        <f>SUMIF(Journal!$D$4:$D$52,B56,Journal!$G$4:$G$52)</f>
        <v>0</v>
      </c>
      <c r="D56" s="180"/>
    </row>
    <row r="57" spans="2:4" x14ac:dyDescent="0.25">
      <c r="B57" s="179" t="str">
        <f>Base!I57</f>
        <v>503 réalisation des tests fonctionnels</v>
      </c>
      <c r="C57" s="173">
        <f>SUMIF(Journal!$D$4:$D$52,B57,Journal!$G$4:$G$52)</f>
        <v>0</v>
      </c>
      <c r="D57" s="180"/>
    </row>
    <row r="58" spans="2:4" x14ac:dyDescent="0.25">
      <c r="B58" s="179" t="str">
        <f>Base!I58</f>
        <v>504 mise en forme des résultats des tests</v>
      </c>
      <c r="C58" s="173">
        <f>SUMIF(Journal!$D$4:$D$52,B58,Journal!$G$4:$G$52)</f>
        <v>0</v>
      </c>
      <c r="D58" s="180"/>
    </row>
    <row r="59" spans="2:4" x14ac:dyDescent="0.25">
      <c r="B59" s="179" t="str">
        <f>Base!I59</f>
        <v>505 -</v>
      </c>
      <c r="C59" s="173">
        <f>SUMIF(Journal!$D$4:$D$52,B59,Journal!$G$4:$G$52)</f>
        <v>0</v>
      </c>
      <c r="D59" s="180"/>
    </row>
    <row r="60" spans="2:4" x14ac:dyDescent="0.25">
      <c r="B60" s="179" t="str">
        <f>Base!I60</f>
        <v>506 -</v>
      </c>
      <c r="C60" s="173">
        <f>SUMIF(Journal!$D$4:$D$52,B60,Journal!$G$4:$G$52)</f>
        <v>0</v>
      </c>
      <c r="D60" s="180"/>
    </row>
    <row r="61" spans="2:4" x14ac:dyDescent="0.25">
      <c r="B61" s="179" t="str">
        <f>Base!I61</f>
        <v>601 réunion avec monsieur C.Egger, CdP</v>
      </c>
      <c r="C61" s="173">
        <f>SUMIF(Journal!$D$4:$D$52,B61,Journal!$G$4:$G$52)</f>
        <v>1.0416666666666685E-2</v>
      </c>
      <c r="D61" s="180"/>
    </row>
    <row r="62" spans="2:4" x14ac:dyDescent="0.25">
      <c r="B62" s="179" t="str">
        <f>Base!I62</f>
        <v>602 réunion avec monsieur G.Gruaz, expert 1</v>
      </c>
      <c r="C62" s="173">
        <f>SUMIF(Journal!$D$4:$D$52,B62,Journal!$G$4:$G$52)</f>
        <v>1.736111111111116E-2</v>
      </c>
      <c r="D62" s="180"/>
    </row>
    <row r="63" spans="2:4" x14ac:dyDescent="0.25">
      <c r="B63" s="179" t="str">
        <f>Base!I63</f>
        <v>603 réunion avec monsieur A.Roy, expert 2</v>
      </c>
      <c r="C63" s="173">
        <f>SUMIF(Journal!$D$4:$D$52,B63,Journal!$G$4:$G$52)</f>
        <v>0</v>
      </c>
      <c r="D63" s="180"/>
    </row>
    <row r="64" spans="2:4" x14ac:dyDescent="0.25">
      <c r="B64" s="179" t="str">
        <f>Base!I64</f>
        <v>604 réunion avec une personne extérieure</v>
      </c>
      <c r="C64" s="173">
        <f>SUMIF(Journal!$D$4:$D$52,B64,Journal!$G$4:$G$52)</f>
        <v>0</v>
      </c>
      <c r="D64" s="180"/>
    </row>
    <row r="65" spans="2:4" x14ac:dyDescent="0.25">
      <c r="B65" s="179" t="str">
        <f>Base!I65</f>
        <v>605 -</v>
      </c>
      <c r="C65" s="173">
        <f>SUMIF(Journal!$D$4:$D$52,B65,Journal!$G$4:$G$52)</f>
        <v>0</v>
      </c>
      <c r="D65" s="180"/>
    </row>
    <row r="66" spans="2:4" ht="15.75" thickBot="1" x14ac:dyDescent="0.3">
      <c r="B66" s="181" t="str">
        <f>Base!I66</f>
        <v>606 -</v>
      </c>
      <c r="C66" s="174">
        <f>SUMIF(Journal!$D$4:$D$52,B66,Journal!$G$4:$G$52)</f>
        <v>0</v>
      </c>
      <c r="D66" s="182"/>
    </row>
  </sheetData>
  <mergeCells count="1">
    <mergeCell ref="B2:D2"/>
  </mergeCells>
  <conditionalFormatting sqref="D4:D66">
    <cfRule type="containsText" dxfId="1" priority="1" operator="containsText" text="Terminé">
      <formula>NOT(ISERROR(SEARCH("Terminé",D4)))</formula>
    </cfRule>
    <cfRule type="containsText" dxfId="0" priority="2" operator="containsText" text="en cours">
      <formula>NOT(ISERROR(SEARCH("en cours",D4)))</formula>
    </cfRule>
  </conditionalFormatting>
  <dataValidations count="1">
    <dataValidation type="list" allowBlank="1" sqref="D4:D66">
      <formula1>"En cours,Terminé"</formula1>
    </dataValidation>
  </dataValidations>
  <pageMargins left="0.70866141732283472" right="0.70866141732283472" top="0.74803149606299213" bottom="0.74803149606299213" header="0.31496062992125984" footer="0.31496062992125984"/>
  <pageSetup paperSize="9" fitToHeight="0" orientation="portrait" r:id="rId1"/>
  <headerFooter>
    <oddFooter>Page &amp;P de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Base</vt:lpstr>
      <vt:lpstr>Planif initiale</vt:lpstr>
      <vt:lpstr>Journal</vt:lpstr>
      <vt:lpstr>Avancée</vt:lpstr>
      <vt:lpstr>Base!listeTache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COSTA Paola</cp:lastModifiedBy>
  <cp:lastPrinted>2021-05-03T09:43:06Z</cp:lastPrinted>
  <dcterms:created xsi:type="dcterms:W3CDTF">2015-01-22T08:10:30Z</dcterms:created>
  <dcterms:modified xsi:type="dcterms:W3CDTF">2021-05-03T09:54:49Z</dcterms:modified>
</cp:coreProperties>
</file>