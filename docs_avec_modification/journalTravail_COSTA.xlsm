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Planif finale" sheetId="12" r:id="rId4"/>
    <sheet name="Journal" sheetId="6" r:id="rId5"/>
    <sheet name="Avancée" sheetId="10" r:id="rId6"/>
  </sheets>
  <definedNames>
    <definedName name="listeTache" localSheetId="0">Base!$I$4:$I$25,Base!$I$26:$I$48,Base!$I$49:$I$66</definedName>
  </definedNames>
  <calcPr calcId="162913"/>
</workbook>
</file>

<file path=xl/calcChain.xml><?xml version="1.0" encoding="utf-8"?>
<calcChain xmlns="http://schemas.openxmlformats.org/spreadsheetml/2006/main">
  <c r="B79" i="12" l="1"/>
  <c r="B78" i="12"/>
  <c r="B77" i="12"/>
  <c r="B76" i="12"/>
  <c r="B75" i="12"/>
  <c r="B74" i="12"/>
  <c r="B72" i="12"/>
  <c r="B71" i="12"/>
  <c r="B70" i="12"/>
  <c r="B69" i="12"/>
  <c r="B68" i="12"/>
  <c r="B67" i="12"/>
  <c r="B66" i="12"/>
  <c r="B64" i="12"/>
  <c r="B63" i="12"/>
  <c r="B62" i="12"/>
  <c r="B61" i="12"/>
  <c r="B60" i="12"/>
  <c r="B59" i="12"/>
  <c r="B58" i="12"/>
  <c r="B56" i="12"/>
  <c r="B55" i="12"/>
  <c r="B54" i="12"/>
  <c r="B53" i="12"/>
  <c r="B52" i="12"/>
  <c r="B51" i="12"/>
  <c r="B50" i="12"/>
  <c r="B49" i="12"/>
  <c r="B48" i="12"/>
  <c r="B47" i="12"/>
  <c r="B46" i="12"/>
  <c r="B45" i="12"/>
  <c r="B44" i="12"/>
  <c r="B43" i="12"/>
  <c r="B42" i="12"/>
  <c r="B41" i="12"/>
  <c r="B40" i="12"/>
  <c r="B39" i="12"/>
  <c r="B38" i="12"/>
  <c r="B37" i="12"/>
  <c r="B36" i="12"/>
  <c r="B35" i="12"/>
  <c r="B34" i="12"/>
  <c r="B33" i="12"/>
  <c r="B31" i="12"/>
  <c r="B30" i="12"/>
  <c r="B29" i="12"/>
  <c r="B28" i="12"/>
  <c r="B27" i="12"/>
  <c r="B26" i="12"/>
  <c r="B25" i="12"/>
  <c r="B24" i="12"/>
  <c r="B23" i="12"/>
  <c r="B22" i="12"/>
  <c r="B21" i="12"/>
  <c r="B20" i="12"/>
  <c r="B19" i="12"/>
  <c r="B18" i="12"/>
  <c r="B17" i="12"/>
  <c r="B16" i="12"/>
  <c r="B15" i="12"/>
  <c r="B13" i="12"/>
  <c r="B12" i="12"/>
  <c r="B11" i="12"/>
  <c r="B10" i="12"/>
  <c r="B9" i="12"/>
  <c r="B8" i="12"/>
  <c r="B7" i="12"/>
  <c r="B5" i="12"/>
  <c r="AG4" i="12"/>
  <c r="C4" i="12"/>
  <c r="AO3" i="12"/>
  <c r="AT3" i="12" s="1"/>
  <c r="BC3" i="12" s="1"/>
  <c r="K3" i="12"/>
  <c r="P3" i="12" s="1"/>
  <c r="Y3" i="12" s="1"/>
  <c r="C3" i="12"/>
  <c r="B1" i="12"/>
  <c r="G136" i="6"/>
  <c r="G137" i="6"/>
  <c r="G138" i="6"/>
  <c r="G139" i="6"/>
  <c r="G140" i="6"/>
  <c r="G141" i="6"/>
  <c r="G142" i="6"/>
  <c r="G143" i="6"/>
  <c r="G144" i="6"/>
  <c r="G145" i="6"/>
  <c r="G146" i="6"/>
  <c r="G147" i="6"/>
  <c r="G148" i="6"/>
  <c r="C136" i="6"/>
  <c r="C137" i="6"/>
  <c r="C138" i="6"/>
  <c r="C139" i="6"/>
  <c r="C140" i="6"/>
  <c r="C141" i="6"/>
  <c r="C142" i="6"/>
  <c r="C143" i="6"/>
  <c r="C144" i="6"/>
  <c r="C145" i="6"/>
  <c r="C146" i="6"/>
  <c r="C147" i="6"/>
  <c r="C148" i="6"/>
  <c r="C149" i="6"/>
  <c r="C150" i="6"/>
  <c r="C151" i="6"/>
  <c r="BK3" i="12" l="1"/>
  <c r="BP3" i="12" s="1"/>
  <c r="BY3" i="12" s="1"/>
  <c r="CG3" i="12" s="1"/>
  <c r="CL3" i="12" s="1"/>
  <c r="CU3" i="12" s="1"/>
  <c r="DC3" i="12" s="1"/>
  <c r="BC4" i="12"/>
  <c r="G112" i="6"/>
  <c r="G113" i="6"/>
  <c r="G114" i="6"/>
  <c r="G115" i="6"/>
  <c r="G116" i="6"/>
  <c r="G117" i="6"/>
  <c r="G118" i="6"/>
  <c r="G119" i="6"/>
  <c r="G120" i="6"/>
  <c r="G121" i="6"/>
  <c r="G122" i="6"/>
  <c r="G123" i="6"/>
  <c r="G124" i="6"/>
  <c r="G125" i="6"/>
  <c r="G126" i="6"/>
  <c r="G127" i="6"/>
  <c r="G128" i="6"/>
  <c r="G129" i="6"/>
  <c r="G130" i="6"/>
  <c r="G131" i="6"/>
  <c r="G132" i="6"/>
  <c r="G133" i="6"/>
  <c r="G134" i="6"/>
  <c r="G135" i="6"/>
  <c r="G149" i="6"/>
  <c r="G150" i="6"/>
  <c r="G151"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DK3" i="12" l="1"/>
  <c r="DP3" i="12" s="1"/>
  <c r="DC4" i="12"/>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B79" i="11"/>
  <c r="B78" i="11"/>
  <c r="B77" i="11"/>
  <c r="B76" i="11"/>
  <c r="B75" i="11"/>
  <c r="B74" i="11"/>
  <c r="B71" i="11"/>
  <c r="B70" i="11"/>
  <c r="B69" i="11"/>
  <c r="B68" i="11"/>
  <c r="B67" i="11"/>
  <c r="B66" i="11"/>
  <c r="B63" i="11"/>
  <c r="B62" i="11"/>
  <c r="B61" i="11"/>
  <c r="B60" i="11"/>
  <c r="B59" i="11"/>
  <c r="B58" i="11"/>
  <c r="B55" i="11"/>
  <c r="B54" i="11"/>
  <c r="B53" i="11"/>
  <c r="B52" i="11"/>
  <c r="B51" i="11"/>
  <c r="B50" i="11"/>
  <c r="B49" i="11"/>
  <c r="B48" i="11"/>
  <c r="B47" i="11"/>
  <c r="B46" i="11"/>
  <c r="B45" i="11"/>
  <c r="B44" i="11"/>
  <c r="B43" i="11"/>
  <c r="B42" i="11"/>
  <c r="B41" i="11"/>
  <c r="B40" i="11"/>
  <c r="B39" i="11"/>
  <c r="B38" i="11"/>
  <c r="B37" i="11"/>
  <c r="B36" i="11"/>
  <c r="B35" i="11"/>
  <c r="B34" i="11"/>
  <c r="B33" i="11"/>
  <c r="B30" i="11"/>
  <c r="B29" i="11"/>
  <c r="B28" i="11"/>
  <c r="B27" i="11"/>
  <c r="B26" i="11"/>
  <c r="B25" i="11"/>
  <c r="B24" i="11"/>
  <c r="B23" i="11"/>
  <c r="B22" i="11"/>
  <c r="B21" i="11"/>
  <c r="B20" i="11"/>
  <c r="B19" i="11"/>
  <c r="B18" i="11"/>
  <c r="B17" i="11"/>
  <c r="B16" i="11"/>
  <c r="B15" i="11"/>
  <c r="B12" i="11"/>
  <c r="B11" i="11"/>
  <c r="B10" i="11"/>
  <c r="B9" i="11"/>
  <c r="B8" i="11"/>
  <c r="B7" i="11"/>
  <c r="AG4" i="11"/>
  <c r="C4" i="11"/>
  <c r="AO3" i="11"/>
  <c r="AT3" i="11" s="1"/>
  <c r="BC3" i="11" s="1"/>
  <c r="C3" i="11"/>
  <c r="K3" i="11" s="1"/>
  <c r="P3" i="11" s="1"/>
  <c r="Y3" i="11" s="1"/>
  <c r="B1" i="11"/>
  <c r="BK3" i="11" l="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E153" i="6" l="1"/>
  <c r="C62" i="10"/>
  <c r="C11" i="10"/>
  <c r="C61" i="10"/>
  <c r="C64" i="10"/>
  <c r="C17" i="10"/>
  <c r="C14" i="10"/>
  <c r="C16" i="10"/>
  <c r="C15" i="10"/>
  <c r="C49" i="10"/>
  <c r="C13" i="10"/>
  <c r="C19" i="10"/>
  <c r="C50" i="10"/>
  <c r="C10" i="10"/>
  <c r="C3" i="8"/>
  <c r="C4" i="8" s="1"/>
  <c r="H61" i="7"/>
  <c r="H55" i="7"/>
  <c r="B64" i="11" s="1"/>
  <c r="H49" i="7"/>
  <c r="B56" i="11" s="1"/>
  <c r="H26" i="7"/>
  <c r="B31" i="11" s="1"/>
  <c r="H10" i="7"/>
  <c r="B13" i="11" s="1"/>
  <c r="H4" i="7"/>
  <c r="B5" i="11" s="1"/>
  <c r="B72" i="8" l="1"/>
  <c r="B72" i="11"/>
  <c r="E157" i="6"/>
  <c r="E156" i="6"/>
  <c r="E155" i="6"/>
  <c r="E154" i="6"/>
  <c r="E158"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<sst xmlns="http://schemas.openxmlformats.org/spreadsheetml/2006/main" count="458" uniqueCount="261">
  <si>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</si>
  <si>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</si>
  <si>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</si>
  <si>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</si>
  <si>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</si>
  <si>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</si>
  <si>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</si>
  <si>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</si>
  <si>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</si>
  <si>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</si>
  <si>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</si>
  <si>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</si>
  <si>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</si>
  <si>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</si>
  <si>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</si>
  <si>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</si>
  <si>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</si>
  <si>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</si>
  <si>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</si>
  <si>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</si>
  <si>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</si>
  <si>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</si>
  <si>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</si>
  <si>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</si>
  <si>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</si>
  <si>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</si>
  <si>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</si>
  <si>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</si>
  <si>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</si>
  <si>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</si>
  <si>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</si>
  <si>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</si>
  <si>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</si>
  <si>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</si>
  <si>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</si>
  <si>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</si>
  <si>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</si>
  <si>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</si>
  <si>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</si>
  <si>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</si>
  <si>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</si>
  <si>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</si>
  <si>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</si>
  <si>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</si>
  <si>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</si>
  <si>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</si>
  <si>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</si>
  <si>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</si>
  <si>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</si>
  <si>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</si>
  <si>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</si>
  <si>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</si>
  <si>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</si>
  <si>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</si>
  <si>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</si>
  <si>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</si>
  <si>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</si>
  <si>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</si>
  <si>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</si>
  <si>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</si>
  <si>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</si>
  <si>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</si>
  <si>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</si>
  <si>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</si>
  <si>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</si>
  <si>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</si>
  <si>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</si>
  <si>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</si>
  <si>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</si>
  <si>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</si>
  <si>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</si>
  <si>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</si>
  <si>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</si>
  <si>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</si>
  <si>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</si>
  <si>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</si>
  <si>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</si>
  <si>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</si>
  <si>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</si>
  <si>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</si>
  <si>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</si>
  <si>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</si>
  <si>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</si>
  <si>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</si>
  <si>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</si>
  <si>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</si>
  <si>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</si>
  <si>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</si>
  <si>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</si>
  <si>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</si>
  <si>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</si>
  <si>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</si>
  <si>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</si>
  <si>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</si>
  <si>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</si>
  <si>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</si>
  <si>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</si>
  <si>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</si>
  <si>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</si>
  <si>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</si>
  <si>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</si>
  <si>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</si>
  <si>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</si>
  <si>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</si>
  <si>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</si>
  <si>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</si>
  <si>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</si>
  <si>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</si>
  <si>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</si>
  <si>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</si>
  <si>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</si>
  <si>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</si>
  <si>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</si>
  <si>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</si>
  <si>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</si>
  <si>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</si>
  <si>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</si>
  <si>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</si>
  <si>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</si>
  <si>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</si>
  <si>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</si>
  <si>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</si>
  <si>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</si>
  <si>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</si>
  <si>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</si>
  <si>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</si>
  <si>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</si>
  <si>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</si>
  <si>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</si>
  <si>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</si>
  <si>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</si>
  <si>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</si>
  <si>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</si>
  <si>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</si>
  <si>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</si>
  <si>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</si>
  <si>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</si>
  <si>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</si>
  <si>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</si>
  <si>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</si>
  <si>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</si>
  <si>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</si>
  <si>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</si>
  <si>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</si>
  <si>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</si>
  <si>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</si>
  <si>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</si>
  <si>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</si>
  <si>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</si>
  <si>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</si>
  <si>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</si>
  <si>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</si>
  <si>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</si>
  <si>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</si>
  <si>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</si>
  <si>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</si>
  <si>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</si>
  <si>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</si>
  <si>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</si>
  <si>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</si>
  <si>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</si>
  <si>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</si>
  <si>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</si>
  <si>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</si>
  <si>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</si>
  <si>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</si>
  <si>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</si>
  <si>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</si>
  <si>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</si>
  <si>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</si>
  <si>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</si>
  <si>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</si>
  <si>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</si>
  <si>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</si>
  <si>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</si>
  <si>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</si>
  <si>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</si>
  <si>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</si>
  <si>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</si>
  <si>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</si>
  <si>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</si>
  <si>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</si>
  <si>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</si>
  <si>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</si>
  <si>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</si>
  <si>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</si>
  <si>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</si>
  <si>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</si>
  <si>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</si>
  <si>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</si>
  <si>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</si>
  <si>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</si>
  <si>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</si>
  <si>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</si>
  <si>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</si>
  <si>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</si>
  <si>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</si>
  <si>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</si>
  <si>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</si>
  <si>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</si>
  <si>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</si>
  <si>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</si>
  <si>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</si>
  <si>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</si>
  <si>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</si>
  <si>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</si>
  <si>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</si>
  <si>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</si>
  <si>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</si>
  <si>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</si>
  <si>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</si>
  <si>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</si>
  <si>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</si>
  <si>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</si>
  <si>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</si>
  <si>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</si>
  <si>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</si>
  <si>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</si>
  <si>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</si>
  <si>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</si>
  <si>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</si>
  <si>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</si>
  <si>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</si>
  <si>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</si>
  <si>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</si>
  <si>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</si>
  <si>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</si>
  <si>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</si>
  <si>
    <t>ajouter la vérification si une alerte est associée à la bouteille en question
l'alerte s'affiche, mais la bouteille est quand même sortie après</t>
  </si>
  <si>
    <t>la création des logs est faite, il reste quelques soucis à régler dans la base de données (contraintes d'unicité incorrecte)
l'affichage du jour est incorrecte, à corriger</t>
  </si>
  <si>
    <t>changement du paramètre d'affichage des fenêtres, afin de griser la fenêtre d'accueil tant qu'on n'a pas fermé la fenêtre ouverte. Changement de la valeur de taille de la fenêtre, afin d'empêcher le changement de taille de la fenêtre</t>
  </si>
  <si>
    <t>mise en place des tests unitaires automatiques, afin de vérifier le bon fonctionnement des méthodes
test pour les alertes en place
erreur encore présente : les tests nécessitent l'utilisation d'une base de données spécifiques : solution pour appeler une autre base de données : inconnue</t>
  </si>
  <si>
    <t>mise en place des tests unitaires pour la classe "Bottles"</t>
  </si>
  <si>
    <t>mise en place des tests unitaires pour la classe "StorageBoxes"</t>
  </si>
  <si>
    <t>rédaction de différents points : retard de ce matin</t>
  </si>
  <si>
    <t>mise en place des tests unitaire pour la classe "Logs"</t>
  </si>
  <si>
    <t>correction du MLD : suppression de colonnes superflus, on update et on delete configuré… 
correction du MCD : suppression des éléments superflus</t>
  </si>
  <si>
    <t>mise en place de la base de données "tests", afin d'exécuter les tests unitaires
les données pour la base tests sont générés, les tests peuvent être exécutés -&gt; ils restent des erreurs dans ceux-ci, à corriger demain
reste à finir de générer les données "réelles" pour la BDD</t>
  </si>
  <si>
    <t>génération des documents pour les experts + envoi par mail</t>
  </si>
  <si>
    <t>O.Rutz</t>
  </si>
  <si>
    <t>fin du développement de la fonctionnalité "suppression d'alerte", que j'avais oublié -&gt; cela fonctionne</t>
  </si>
  <si>
    <t>déboggage des tests unitaires rédigés
cela a fonctionné pour certains, mais impossible pour certains autres, je ne trouve pas l'erreur -&gt; avancée sur le reste, il reste du boulot autre part</t>
  </si>
  <si>
    <t>réalisation des tests fonctionnels selon scénarios</t>
  </si>
  <si>
    <t>réalisation des tests fonctionnels selon scénarios
explication si le test échoue</t>
  </si>
  <si>
    <t>rédaction du rapport de projet : évolutions et améliorations possibles, problèmes rencontrés, rédaction des tests, remplacement des illustrations incorrectes (planif initiale, MCD, MLD), rédaction de la partie "réalisation" du projet</t>
  </si>
  <si>
    <t>rédaction de la partie "personnes consultées" -&gt; il manquait du détail</t>
  </si>
  <si>
    <t>F.Andolfatto</t>
  </si>
  <si>
    <t>Personne 3</t>
  </si>
  <si>
    <t>X.Carrel</t>
  </si>
  <si>
    <t xml:space="preserve">heures effectuées totales (h) : </t>
  </si>
  <si>
    <t>rédaction des tests unitaires, des erreurs restantes dans le projet</t>
  </si>
  <si>
    <t>recherche sur la manière de créer un fichier .exe à partir de visual studio 2019</t>
  </si>
  <si>
    <t>mise à jour du diagramme de classe, rédaction du glossaire</t>
  </si>
  <si>
    <t>fin de la rédaction du glossaire, rédaction de "personnes consultées",planification définitive avancée, réflexion sur quoi noter dans les paragraphes de la conclusion</t>
  </si>
  <si>
    <t>début de la mise en place de la planification finale</t>
  </si>
  <si>
    <t>n'ayant pas trouvé ce matin, demande à F.Andolfatto sur comment faire un .exe de l'application
mise en place de l'installer pour pouvoir simplifier la navigation dans le .exe</t>
  </si>
  <si>
    <t>création de l'application en .exe avec raccourci sur le bureau + test de la solution
!!! Si base de données non générées -&gt; plante !!!
Réflexion sur la manière de rédiger la procédure d'installation</t>
  </si>
  <si>
    <t>603 réunion avec monsieur O.Rutz, expert 2</t>
  </si>
  <si>
    <t>discussion sur l'avancée du projet : problèmes bloquants, questions génériques, puis explications sur déroulement de la fin du projet + défense</t>
  </si>
  <si>
    <t>avancée du manuel d'installation</t>
  </si>
  <si>
    <t>génération des fichiers PDF nécessaires + envoi au CdP et aux experts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</si>
</sst>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4"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
      <sz val="12"/>
      <color theme="1"/>
      <name val="Calibri"/>
      <family val="2"/>
      <scheme val="minor"/>
    </font>
    <font>
      <sz val="11"/>
      <color theme="5" tint="0.39997558519241921"/>
      <name val="Calibri"/>
      <family val="2"/>
      <scheme val="minor"/>
    </font>
    <font>
      <sz val="11"/>
      <color theme="6" tint="0.3999755851924192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41">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1" fillId="0" borderId="3" xfId="0" applyFont="1" applyFill="1" applyBorder="1" applyAlignment="1">
      <alignment vertical="center"/>
    </xf>
    <xf numFmtId="166" fontId="0" fillId="0" borderId="0" xfId="0" applyNumberFormat="1" applyAlignment="1">
      <alignment vertical="center"/>
    </xf>
    <xf numFmtId="165" fontId="0" fillId="0" borderId="0" xfId="0" applyNumberFormat="1" applyAlignment="1">
      <alignment horizontal="center" vertical="center"/>
    </xf>
    <xf numFmtId="0" fontId="11" fillId="3" borderId="0" xfId="0" applyFont="1" applyFill="1" applyAlignment="1" applyProtection="1">
      <alignment horizontal="left"/>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0" fontId="12" fillId="11" borderId="20" xfId="0" applyFont="1" applyFill="1" applyBorder="1" applyAlignment="1">
      <alignment horizontal="center"/>
    </xf>
    <xf numFmtId="0" fontId="13" fillId="7" borderId="20" xfId="0" applyFont="1" applyFill="1" applyBorder="1" applyAlignment="1">
      <alignment horizontal="center"/>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A10" zoomScale="115" zoomScaleNormal="115" workbookViewId="0">
      <selection activeCell="I64" sqref="I64"/>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8" t="s">
        <v>23</v>
      </c>
      <c r="D3" s="138"/>
      <c r="E3" s="11"/>
      <c r="F3" s="10"/>
      <c r="G3" s="209" t="s">
        <v>11</v>
      </c>
      <c r="H3" s="209"/>
      <c r="I3" s="10" t="s">
        <v>5</v>
      </c>
      <c r="J3" s="10"/>
    </row>
    <row r="4" spans="1:10" x14ac:dyDescent="0.25">
      <c r="A4" s="8"/>
      <c r="B4" s="8"/>
      <c r="C4" s="8"/>
      <c r="D4" s="8"/>
      <c r="E4" s="8"/>
      <c r="F4" s="8"/>
      <c r="G4" s="85">
        <v>1</v>
      </c>
      <c r="H4" s="130" t="str">
        <f>D11</f>
        <v>Analyse</v>
      </c>
      <c r="I4" s="148" t="s">
        <v>52</v>
      </c>
      <c r="J4" s="89"/>
    </row>
    <row r="5" spans="1:10" ht="18.75" x14ac:dyDescent="0.3">
      <c r="A5" s="8"/>
      <c r="B5" s="10" t="s">
        <v>40</v>
      </c>
      <c r="C5" s="10" t="s">
        <v>2</v>
      </c>
      <c r="D5" s="10" t="s">
        <v>3</v>
      </c>
      <c r="E5" s="8"/>
      <c r="F5" s="8"/>
      <c r="G5" s="71"/>
      <c r="H5" s="86"/>
      <c r="I5" s="149" t="s">
        <v>77</v>
      </c>
      <c r="J5" s="89"/>
    </row>
    <row r="6" spans="1:10" x14ac:dyDescent="0.25">
      <c r="A6" s="8"/>
      <c r="B6" s="5">
        <v>44319</v>
      </c>
      <c r="C6" s="6" t="s">
        <v>6</v>
      </c>
      <c r="D6" s="7" t="s">
        <v>7</v>
      </c>
      <c r="E6" s="8"/>
      <c r="F6" s="8"/>
      <c r="G6" s="71"/>
      <c r="H6" s="86"/>
      <c r="I6" s="149" t="s">
        <v>95</v>
      </c>
      <c r="J6" s="89"/>
    </row>
    <row r="7" spans="1:10" ht="18.75" x14ac:dyDescent="0.3">
      <c r="A7" s="8"/>
      <c r="B7" s="10" t="s">
        <v>39</v>
      </c>
      <c r="C7" s="74"/>
      <c r="D7" s="10" t="s">
        <v>27</v>
      </c>
      <c r="E7" s="8"/>
      <c r="F7" s="8"/>
      <c r="G7" s="71"/>
      <c r="H7" s="86"/>
      <c r="I7" s="149" t="s">
        <v>94</v>
      </c>
      <c r="J7" s="89"/>
    </row>
    <row r="8" spans="1:10" x14ac:dyDescent="0.25">
      <c r="A8" s="8"/>
      <c r="B8" s="5">
        <v>44350</v>
      </c>
      <c r="C8" s="74"/>
      <c r="D8" s="133" t="s">
        <v>41</v>
      </c>
      <c r="E8" s="8"/>
      <c r="F8" s="8"/>
      <c r="G8" s="71"/>
      <c r="H8" s="86"/>
      <c r="I8" s="149" t="s">
        <v>96</v>
      </c>
      <c r="J8" s="89"/>
    </row>
    <row r="9" spans="1:10" x14ac:dyDescent="0.25">
      <c r="A9" s="8"/>
      <c r="B9" s="8"/>
      <c r="C9" s="8"/>
      <c r="D9" s="8"/>
      <c r="E9" s="8"/>
      <c r="F9" s="8"/>
      <c r="G9" s="71"/>
      <c r="H9" s="86"/>
      <c r="I9" s="150" t="s">
        <v>75</v>
      </c>
      <c r="J9" s="89"/>
    </row>
    <row r="10" spans="1:10" ht="18.75" x14ac:dyDescent="0.3">
      <c r="A10" s="8"/>
      <c r="B10" s="8"/>
      <c r="C10" s="210" t="s">
        <v>16</v>
      </c>
      <c r="D10" s="210"/>
      <c r="E10" s="8"/>
      <c r="F10" s="8"/>
      <c r="G10" s="85">
        <v>2</v>
      </c>
      <c r="H10" s="130" t="str">
        <f>D12</f>
        <v>Conception</v>
      </c>
      <c r="I10" s="82" t="s">
        <v>53</v>
      </c>
      <c r="J10" s="89"/>
    </row>
    <row r="11" spans="1:10" x14ac:dyDescent="0.25">
      <c r="A11" s="8"/>
      <c r="B11" s="8"/>
      <c r="C11" s="132">
        <v>1</v>
      </c>
      <c r="D11" s="75" t="s">
        <v>17</v>
      </c>
      <c r="E11" s="8"/>
      <c r="F11" s="8"/>
      <c r="G11" s="71"/>
      <c r="H11" s="87"/>
      <c r="I11" s="81" t="s">
        <v>55</v>
      </c>
      <c r="J11" s="89"/>
    </row>
    <row r="12" spans="1:10" x14ac:dyDescent="0.25">
      <c r="A12" s="8"/>
      <c r="B12" s="8"/>
      <c r="C12" s="132">
        <v>2</v>
      </c>
      <c r="D12" s="75" t="s">
        <v>18</v>
      </c>
      <c r="E12" s="8"/>
      <c r="F12" s="8"/>
      <c r="G12" s="71"/>
      <c r="H12" s="87"/>
      <c r="I12" s="81" t="s">
        <v>54</v>
      </c>
      <c r="J12" s="89"/>
    </row>
    <row r="13" spans="1:10" x14ac:dyDescent="0.25">
      <c r="A13" s="8"/>
      <c r="B13" s="8"/>
      <c r="C13" s="77">
        <v>3</v>
      </c>
      <c r="D13" s="76" t="s">
        <v>19</v>
      </c>
      <c r="E13" s="8"/>
      <c r="F13" s="8"/>
      <c r="G13" s="71"/>
      <c r="H13" s="87"/>
      <c r="I13" s="81" t="s">
        <v>56</v>
      </c>
      <c r="J13" s="89"/>
    </row>
    <row r="14" spans="1:10" x14ac:dyDescent="0.25">
      <c r="A14" s="8"/>
      <c r="B14" s="8"/>
      <c r="C14" s="77">
        <v>4</v>
      </c>
      <c r="D14" s="76" t="s">
        <v>20</v>
      </c>
      <c r="E14" s="8"/>
      <c r="F14" s="8"/>
      <c r="G14" s="71"/>
      <c r="H14" s="87"/>
      <c r="I14" s="81" t="s">
        <v>57</v>
      </c>
      <c r="J14" s="89"/>
    </row>
    <row r="15" spans="1:10" x14ac:dyDescent="0.25">
      <c r="A15" s="8"/>
      <c r="B15" s="8"/>
      <c r="C15" s="77">
        <v>5</v>
      </c>
      <c r="D15" s="76" t="s">
        <v>43</v>
      </c>
      <c r="E15" s="8"/>
      <c r="F15" s="8"/>
      <c r="G15" s="71"/>
      <c r="H15" s="87"/>
      <c r="I15" s="81" t="s">
        <v>58</v>
      </c>
      <c r="J15" s="89"/>
    </row>
    <row r="16" spans="1:10" x14ac:dyDescent="0.25">
      <c r="A16" s="8"/>
      <c r="B16" s="8"/>
      <c r="C16" s="77">
        <v>6</v>
      </c>
      <c r="D16" s="76" t="s">
        <v>36</v>
      </c>
      <c r="E16" s="8"/>
      <c r="F16" s="8"/>
      <c r="G16" s="71"/>
      <c r="H16" s="87"/>
      <c r="I16" s="81" t="s">
        <v>59</v>
      </c>
      <c r="J16" s="74"/>
    </row>
    <row r="17" spans="1:10" x14ac:dyDescent="0.25">
      <c r="A17" s="8"/>
      <c r="B17" s="113"/>
      <c r="C17" s="113"/>
      <c r="D17" s="8"/>
      <c r="E17" s="8"/>
      <c r="F17" s="8"/>
      <c r="G17" s="71"/>
      <c r="H17" s="86"/>
      <c r="I17" s="81" t="s">
        <v>60</v>
      </c>
      <c r="J17" s="74"/>
    </row>
    <row r="18" spans="1:10" ht="15.75" x14ac:dyDescent="0.25">
      <c r="A18" s="8"/>
      <c r="B18" s="211" t="s">
        <v>35</v>
      </c>
      <c r="C18" s="211"/>
      <c r="D18" s="117"/>
      <c r="E18" s="107"/>
      <c r="F18" s="8"/>
      <c r="G18" s="71"/>
      <c r="H18" s="84"/>
      <c r="I18" s="3" t="s">
        <v>61</v>
      </c>
      <c r="J18" s="74"/>
    </row>
    <row r="19" spans="1:10" x14ac:dyDescent="0.25">
      <c r="A19" s="8"/>
      <c r="B19" s="118" t="s">
        <v>31</v>
      </c>
      <c r="C19" s="102" t="s">
        <v>29</v>
      </c>
      <c r="D19" s="115"/>
      <c r="E19" s="116"/>
      <c r="F19" s="8"/>
      <c r="G19" s="71"/>
      <c r="H19" s="86"/>
      <c r="I19" s="81" t="s">
        <v>69</v>
      </c>
      <c r="J19" s="74"/>
    </row>
    <row r="20" spans="1:10" x14ac:dyDescent="0.25">
      <c r="A20" s="8"/>
      <c r="B20" s="118" t="s">
        <v>30</v>
      </c>
      <c r="C20" s="119" t="s">
        <v>93</v>
      </c>
      <c r="D20" s="115"/>
      <c r="E20" s="78"/>
      <c r="F20" s="8"/>
      <c r="G20" s="71"/>
      <c r="H20" s="86"/>
      <c r="I20" s="81" t="s">
        <v>76</v>
      </c>
      <c r="J20" s="74"/>
    </row>
    <row r="21" spans="1:10" x14ac:dyDescent="0.25">
      <c r="A21" s="8"/>
      <c r="B21" s="118" t="s">
        <v>32</v>
      </c>
      <c r="C21" s="119" t="s">
        <v>239</v>
      </c>
      <c r="D21" s="115"/>
      <c r="E21" s="78"/>
      <c r="F21" s="8"/>
      <c r="G21" s="71"/>
      <c r="H21" s="87"/>
      <c r="I21" s="81" t="s">
        <v>138</v>
      </c>
      <c r="J21" s="74"/>
    </row>
    <row r="22" spans="1:10" x14ac:dyDescent="0.25">
      <c r="A22" s="8"/>
      <c r="B22" s="118" t="s">
        <v>33</v>
      </c>
      <c r="C22" s="102" t="s">
        <v>147</v>
      </c>
      <c r="D22" s="107"/>
      <c r="E22" s="114"/>
      <c r="F22" s="8"/>
      <c r="G22" s="71"/>
      <c r="H22" s="87"/>
      <c r="I22" s="81" t="s">
        <v>97</v>
      </c>
      <c r="J22" s="74"/>
    </row>
    <row r="23" spans="1:10" ht="15.75" x14ac:dyDescent="0.25">
      <c r="A23" s="8"/>
      <c r="B23" s="118" t="s">
        <v>34</v>
      </c>
      <c r="C23" s="208" t="s">
        <v>246</v>
      </c>
      <c r="D23" s="107"/>
      <c r="E23" s="8"/>
      <c r="F23" s="8"/>
      <c r="G23" s="71"/>
      <c r="H23" s="87"/>
      <c r="I23" s="81" t="s">
        <v>108</v>
      </c>
      <c r="J23" s="74"/>
    </row>
    <row r="24" spans="1:10" x14ac:dyDescent="0.25">
      <c r="A24" s="8"/>
      <c r="B24" s="107" t="s">
        <v>247</v>
      </c>
      <c r="C24" s="120" t="s">
        <v>248</v>
      </c>
      <c r="D24" s="107"/>
      <c r="E24" s="8"/>
      <c r="F24" s="8"/>
      <c r="G24" s="71"/>
      <c r="H24" s="87"/>
      <c r="I24" s="81" t="s">
        <v>142</v>
      </c>
      <c r="J24" s="74"/>
    </row>
    <row r="25" spans="1:10" x14ac:dyDescent="0.25">
      <c r="A25" s="8"/>
      <c r="B25" s="8"/>
      <c r="C25" s="119"/>
      <c r="D25" s="8"/>
      <c r="E25" s="8"/>
      <c r="F25" s="8"/>
      <c r="G25" s="72"/>
      <c r="H25" s="88"/>
      <c r="I25" s="83" t="s">
        <v>24</v>
      </c>
      <c r="J25" s="74"/>
    </row>
    <row r="26" spans="1:10" x14ac:dyDescent="0.25">
      <c r="A26" s="8"/>
      <c r="B26" s="118"/>
      <c r="C26" s="119"/>
      <c r="D26" s="8"/>
      <c r="E26" s="8"/>
      <c r="F26" s="8"/>
      <c r="G26" s="85">
        <v>3</v>
      </c>
      <c r="H26" s="130" t="str">
        <f>D13</f>
        <v>Implémentation</v>
      </c>
      <c r="I26" s="82" t="s">
        <v>72</v>
      </c>
      <c r="J26" s="8"/>
    </row>
    <row r="27" spans="1:10" x14ac:dyDescent="0.25">
      <c r="A27" s="8"/>
      <c r="B27" s="8"/>
      <c r="C27" s="8"/>
      <c r="D27" s="8"/>
      <c r="E27" s="8"/>
      <c r="F27" s="8"/>
      <c r="G27" s="71"/>
      <c r="H27" s="87"/>
      <c r="I27" s="80" t="s">
        <v>73</v>
      </c>
      <c r="J27" s="8"/>
    </row>
    <row r="28" spans="1:10" x14ac:dyDescent="0.25">
      <c r="A28" s="8"/>
      <c r="B28" s="8"/>
      <c r="C28" s="8"/>
      <c r="D28" s="8"/>
      <c r="E28" s="8"/>
      <c r="F28" s="8"/>
      <c r="G28" s="71"/>
      <c r="H28" s="87"/>
      <c r="I28" s="81" t="s">
        <v>78</v>
      </c>
      <c r="J28" s="8"/>
    </row>
    <row r="29" spans="1:10" x14ac:dyDescent="0.25">
      <c r="A29" s="8"/>
      <c r="B29" s="8"/>
      <c r="C29" s="8"/>
      <c r="D29" s="8"/>
      <c r="E29" s="8"/>
      <c r="F29" s="8"/>
      <c r="G29" s="71"/>
      <c r="H29" s="87"/>
      <c r="I29" s="80" t="s">
        <v>79</v>
      </c>
      <c r="J29" s="8"/>
    </row>
    <row r="30" spans="1:10" x14ac:dyDescent="0.25">
      <c r="A30" s="8"/>
      <c r="B30" s="8"/>
      <c r="C30" s="8"/>
      <c r="D30" s="8"/>
      <c r="E30" s="8"/>
      <c r="F30" s="8"/>
      <c r="G30" s="71"/>
      <c r="H30" s="87"/>
      <c r="I30" s="81" t="s">
        <v>80</v>
      </c>
      <c r="J30" s="8"/>
    </row>
    <row r="31" spans="1:10" x14ac:dyDescent="0.25">
      <c r="A31" s="8"/>
      <c r="B31" s="8"/>
      <c r="C31" s="8"/>
      <c r="D31" s="8"/>
      <c r="E31" s="8"/>
      <c r="F31" s="8"/>
      <c r="G31" s="71"/>
      <c r="H31" s="87"/>
      <c r="I31" s="80" t="s">
        <v>81</v>
      </c>
      <c r="J31" s="8"/>
    </row>
    <row r="32" spans="1:10" x14ac:dyDescent="0.25">
      <c r="A32" s="8"/>
      <c r="B32" s="8"/>
      <c r="C32" s="8"/>
      <c r="D32" s="8"/>
      <c r="E32" s="8"/>
      <c r="F32" s="8"/>
      <c r="G32" s="71"/>
      <c r="H32" s="87"/>
      <c r="I32" s="81" t="s">
        <v>82</v>
      </c>
      <c r="J32" s="8"/>
    </row>
    <row r="33" spans="1:10" x14ac:dyDescent="0.25">
      <c r="A33" s="8"/>
      <c r="B33" s="8"/>
      <c r="C33" s="8"/>
      <c r="D33" s="8"/>
      <c r="E33" s="8"/>
      <c r="F33" s="8"/>
      <c r="G33" s="71"/>
      <c r="H33" s="87"/>
      <c r="I33" s="80" t="s">
        <v>83</v>
      </c>
      <c r="J33" s="8"/>
    </row>
    <row r="34" spans="1:10" x14ac:dyDescent="0.25">
      <c r="A34" s="8"/>
      <c r="B34" s="8"/>
      <c r="C34" s="8"/>
      <c r="D34" s="8"/>
      <c r="E34" s="8"/>
      <c r="F34" s="8"/>
      <c r="G34" s="71"/>
      <c r="H34" s="87"/>
      <c r="I34" s="81" t="s">
        <v>84</v>
      </c>
      <c r="J34" s="8"/>
    </row>
    <row r="35" spans="1:10" x14ac:dyDescent="0.25">
      <c r="A35" s="8"/>
      <c r="B35" s="8"/>
      <c r="C35" s="8"/>
      <c r="D35" s="8"/>
      <c r="E35" s="8"/>
      <c r="F35" s="8"/>
      <c r="G35" s="71"/>
      <c r="H35" s="87"/>
      <c r="I35" s="80" t="s">
        <v>85</v>
      </c>
      <c r="J35" s="8"/>
    </row>
    <row r="36" spans="1:10" x14ac:dyDescent="0.25">
      <c r="A36" s="8"/>
      <c r="B36" s="8"/>
      <c r="C36" s="8"/>
      <c r="D36" s="8"/>
      <c r="E36" s="8"/>
      <c r="F36" s="8"/>
      <c r="G36" s="71"/>
      <c r="H36" s="90"/>
      <c r="I36" s="81" t="s">
        <v>86</v>
      </c>
      <c r="J36" s="8"/>
    </row>
    <row r="37" spans="1:10" x14ac:dyDescent="0.25">
      <c r="A37" s="8"/>
      <c r="B37" s="8"/>
      <c r="C37" s="8"/>
      <c r="D37" s="8"/>
      <c r="E37" s="8"/>
      <c r="F37" s="8"/>
      <c r="G37" s="91"/>
      <c r="H37" s="92"/>
      <c r="I37" s="80" t="s">
        <v>133</v>
      </c>
      <c r="J37" s="8"/>
    </row>
    <row r="38" spans="1:10" x14ac:dyDescent="0.25">
      <c r="A38" s="8"/>
      <c r="B38" s="8"/>
      <c r="C38" s="8"/>
      <c r="D38" s="8"/>
      <c r="E38" s="8"/>
      <c r="F38" s="8"/>
      <c r="G38" s="91"/>
      <c r="H38" s="92"/>
      <c r="I38" s="81" t="s">
        <v>87</v>
      </c>
      <c r="J38" s="8"/>
    </row>
    <row r="39" spans="1:10" x14ac:dyDescent="0.25">
      <c r="A39" s="8"/>
      <c r="B39" s="8"/>
      <c r="C39" s="8"/>
      <c r="D39" s="8"/>
      <c r="E39" s="8"/>
      <c r="F39" s="8"/>
      <c r="G39" s="73"/>
      <c r="H39" s="93"/>
      <c r="I39" s="80" t="s">
        <v>88</v>
      </c>
      <c r="J39" s="8"/>
    </row>
    <row r="40" spans="1:10" x14ac:dyDescent="0.25">
      <c r="A40" s="8"/>
      <c r="B40" s="8"/>
      <c r="C40" s="8"/>
      <c r="D40" s="8"/>
      <c r="E40" s="8"/>
      <c r="F40" s="8"/>
      <c r="G40" s="73"/>
      <c r="H40" s="93"/>
      <c r="I40" s="81" t="s">
        <v>89</v>
      </c>
      <c r="J40" s="8"/>
    </row>
    <row r="41" spans="1:10" x14ac:dyDescent="0.25">
      <c r="A41" s="8"/>
      <c r="B41" s="8"/>
      <c r="C41" s="8"/>
      <c r="D41" s="8"/>
      <c r="E41" s="8"/>
      <c r="F41" s="8"/>
      <c r="G41" s="73"/>
      <c r="H41" s="93"/>
      <c r="I41" s="80" t="s">
        <v>90</v>
      </c>
      <c r="J41" s="8"/>
    </row>
    <row r="42" spans="1:10" x14ac:dyDescent="0.25">
      <c r="A42" s="8"/>
      <c r="B42" s="8"/>
      <c r="C42" s="8"/>
      <c r="D42" s="8"/>
      <c r="E42" s="8"/>
      <c r="F42" s="8"/>
      <c r="G42" s="73"/>
      <c r="H42" s="93"/>
      <c r="I42" s="81" t="s">
        <v>91</v>
      </c>
      <c r="J42" s="8"/>
    </row>
    <row r="43" spans="1:10" x14ac:dyDescent="0.25">
      <c r="A43" s="8"/>
      <c r="B43" s="8"/>
      <c r="C43" s="8"/>
      <c r="D43" s="8"/>
      <c r="E43" s="8"/>
      <c r="F43" s="8"/>
      <c r="G43" s="73"/>
      <c r="H43" s="93"/>
      <c r="I43" s="80" t="s">
        <v>92</v>
      </c>
      <c r="J43" s="8"/>
    </row>
    <row r="44" spans="1:10" x14ac:dyDescent="0.25">
      <c r="A44" s="8"/>
      <c r="B44" s="8"/>
      <c r="C44" s="8"/>
      <c r="D44" s="8"/>
      <c r="E44" s="8"/>
      <c r="F44" s="8"/>
      <c r="G44" s="73"/>
      <c r="H44" s="93"/>
      <c r="I44" s="81" t="s">
        <v>160</v>
      </c>
      <c r="J44" s="8"/>
    </row>
    <row r="45" spans="1:10" x14ac:dyDescent="0.25">
      <c r="A45" s="8"/>
      <c r="B45" s="8"/>
      <c r="C45" s="8"/>
      <c r="D45" s="8"/>
      <c r="E45" s="8"/>
      <c r="F45" s="8"/>
      <c r="G45" s="73"/>
      <c r="H45" s="93"/>
      <c r="I45" s="80" t="s">
        <v>161</v>
      </c>
      <c r="J45" s="8"/>
    </row>
    <row r="46" spans="1:10" x14ac:dyDescent="0.25">
      <c r="A46" s="8"/>
      <c r="B46" s="8"/>
      <c r="C46" s="8"/>
      <c r="D46" s="8"/>
      <c r="E46" s="8"/>
      <c r="F46" s="8"/>
      <c r="G46" s="73"/>
      <c r="H46" s="93"/>
      <c r="I46" s="81" t="s">
        <v>177</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0" t="str">
        <f>D14</f>
        <v>Documentation</v>
      </c>
      <c r="I49" s="2" t="s">
        <v>98</v>
      </c>
      <c r="J49" s="8"/>
    </row>
    <row r="50" spans="1:10" x14ac:dyDescent="0.25">
      <c r="A50" s="8"/>
      <c r="B50" s="8"/>
      <c r="C50" s="8"/>
      <c r="D50" s="8"/>
      <c r="E50" s="8"/>
      <c r="F50" s="8"/>
      <c r="G50" s="71"/>
      <c r="H50" s="87"/>
      <c r="I50" s="3" t="s">
        <v>49</v>
      </c>
      <c r="J50" s="8"/>
    </row>
    <row r="51" spans="1:10" x14ac:dyDescent="0.25">
      <c r="A51" s="8"/>
      <c r="B51" s="8"/>
      <c r="C51" s="8"/>
      <c r="D51" s="8"/>
      <c r="E51" s="8"/>
      <c r="F51" s="8"/>
      <c r="G51" s="71"/>
      <c r="H51" s="87"/>
      <c r="I51" s="3" t="s">
        <v>50</v>
      </c>
      <c r="J51" s="8"/>
    </row>
    <row r="52" spans="1:10" x14ac:dyDescent="0.25">
      <c r="A52" s="8"/>
      <c r="B52" s="8"/>
      <c r="C52" s="8"/>
      <c r="D52" s="8"/>
      <c r="E52" s="8"/>
      <c r="F52" s="8"/>
      <c r="G52" s="71"/>
      <c r="H52" s="87"/>
      <c r="I52" s="3" t="s">
        <v>131</v>
      </c>
      <c r="J52" s="8"/>
    </row>
    <row r="53" spans="1:10" x14ac:dyDescent="0.25">
      <c r="A53" s="8"/>
      <c r="B53" s="8"/>
      <c r="C53" s="8"/>
      <c r="D53" s="8"/>
      <c r="E53" s="8"/>
      <c r="F53" s="8"/>
      <c r="G53" s="71"/>
      <c r="H53" s="87"/>
      <c r="I53" s="3" t="s">
        <v>74</v>
      </c>
      <c r="J53" s="8"/>
    </row>
    <row r="54" spans="1:10" x14ac:dyDescent="0.25">
      <c r="A54" s="8"/>
      <c r="B54" s="8"/>
      <c r="C54" s="8"/>
      <c r="D54" s="8"/>
      <c r="E54" s="8"/>
      <c r="F54" s="8"/>
      <c r="G54" s="72"/>
      <c r="H54" s="88"/>
      <c r="I54" s="4" t="s">
        <v>100</v>
      </c>
      <c r="J54" s="8"/>
    </row>
    <row r="55" spans="1:10" x14ac:dyDescent="0.25">
      <c r="A55" s="8"/>
      <c r="B55" s="8"/>
      <c r="C55" s="8"/>
      <c r="D55" s="8"/>
      <c r="E55" s="8"/>
      <c r="F55" s="8"/>
      <c r="G55" s="85">
        <v>5</v>
      </c>
      <c r="H55" s="130" t="str">
        <f>D15</f>
        <v>Test</v>
      </c>
      <c r="I55" s="82" t="s">
        <v>65</v>
      </c>
      <c r="J55" s="8"/>
    </row>
    <row r="56" spans="1:10" x14ac:dyDescent="0.25">
      <c r="A56" s="8"/>
      <c r="B56" s="8"/>
      <c r="C56" s="8"/>
      <c r="D56" s="8"/>
      <c r="E56" s="8"/>
      <c r="F56" s="8"/>
      <c r="G56" s="71"/>
      <c r="H56" s="87"/>
      <c r="I56" s="81" t="s">
        <v>66</v>
      </c>
      <c r="J56" s="8"/>
    </row>
    <row r="57" spans="1:10" x14ac:dyDescent="0.25">
      <c r="A57" s="8"/>
      <c r="B57" s="8"/>
      <c r="C57" s="8"/>
      <c r="D57" s="8"/>
      <c r="E57" s="8"/>
      <c r="F57" s="8"/>
      <c r="G57" s="71"/>
      <c r="H57" s="87"/>
      <c r="I57" s="81" t="s">
        <v>67</v>
      </c>
      <c r="J57" s="8"/>
    </row>
    <row r="58" spans="1:10" x14ac:dyDescent="0.25">
      <c r="A58" s="8"/>
      <c r="B58" s="8"/>
      <c r="C58" s="8"/>
      <c r="D58" s="8"/>
      <c r="E58" s="8"/>
      <c r="F58" s="8"/>
      <c r="G58" s="71"/>
      <c r="H58" s="87"/>
      <c r="I58" s="81" t="s">
        <v>68</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1" t="str">
        <f>D16</f>
        <v>Réunion</v>
      </c>
      <c r="I61" s="82" t="s">
        <v>62</v>
      </c>
      <c r="J61" s="8"/>
    </row>
    <row r="62" spans="1:10" x14ac:dyDescent="0.25">
      <c r="A62" s="8"/>
      <c r="B62" s="8"/>
      <c r="C62" s="8"/>
      <c r="D62" s="8"/>
      <c r="E62" s="8"/>
      <c r="F62" s="8"/>
      <c r="G62" s="71"/>
      <c r="H62" s="87"/>
      <c r="I62" s="81" t="s">
        <v>63</v>
      </c>
      <c r="J62" s="8"/>
    </row>
    <row r="63" spans="1:10" x14ac:dyDescent="0.25">
      <c r="A63" s="8"/>
      <c r="B63" s="8"/>
      <c r="C63" s="8"/>
      <c r="D63" s="8"/>
      <c r="E63" s="8"/>
      <c r="F63" s="8"/>
      <c r="G63" s="71"/>
      <c r="H63" s="87"/>
      <c r="I63" s="81" t="s">
        <v>257</v>
      </c>
      <c r="J63" s="8"/>
    </row>
    <row r="64" spans="1:10" x14ac:dyDescent="0.25">
      <c r="A64" s="8"/>
      <c r="B64" s="8"/>
      <c r="C64" s="8"/>
      <c r="D64" s="8"/>
      <c r="E64" s="8"/>
      <c r="F64" s="8"/>
      <c r="G64" s="71"/>
      <c r="H64" s="87"/>
      <c r="I64" s="81" t="s">
        <v>64</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zoomScale="25" zoomScaleNormal="25" zoomScaleSheetLayoutView="70" zoomScalePageLayoutView="70" workbookViewId="0">
      <selection activeCell="DZ40" sqref="DZ40"/>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44343</v>
      </c>
    </row>
    <row r="2" spans="2:129" ht="60.75" customHeight="1" thickBot="1" x14ac:dyDescent="0.3">
      <c r="B2" s="229" t="s">
        <v>116</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c r="DL2" s="230"/>
      <c r="DM2" s="230"/>
      <c r="DN2" s="230"/>
      <c r="DO2" s="230"/>
      <c r="DP2" s="230"/>
      <c r="DQ2" s="230"/>
      <c r="DR2" s="230"/>
      <c r="DS2" s="231"/>
    </row>
    <row r="3" spans="2:129" s="99" customFormat="1" ht="62.25" customHeight="1" x14ac:dyDescent="0.5">
      <c r="B3" s="193"/>
      <c r="C3" s="228">
        <f>Base!B6</f>
        <v>44319</v>
      </c>
      <c r="D3" s="226"/>
      <c r="E3" s="226"/>
      <c r="F3" s="226"/>
      <c r="G3" s="226"/>
      <c r="H3" s="226"/>
      <c r="I3" s="226"/>
      <c r="J3" s="227"/>
      <c r="K3" s="225">
        <f>C3+1</f>
        <v>44320</v>
      </c>
      <c r="L3" s="226"/>
      <c r="M3" s="226"/>
      <c r="N3" s="226"/>
      <c r="O3" s="227"/>
      <c r="P3" s="225">
        <f>K3+1</f>
        <v>44321</v>
      </c>
      <c r="Q3" s="226"/>
      <c r="R3" s="226"/>
      <c r="S3" s="226"/>
      <c r="T3" s="226"/>
      <c r="U3" s="226"/>
      <c r="V3" s="226"/>
      <c r="W3" s="226"/>
      <c r="X3" s="227"/>
      <c r="Y3" s="225">
        <f>P3+1</f>
        <v>44322</v>
      </c>
      <c r="Z3" s="226"/>
      <c r="AA3" s="226"/>
      <c r="AB3" s="226"/>
      <c r="AC3" s="226"/>
      <c r="AD3" s="226"/>
      <c r="AE3" s="226"/>
      <c r="AF3" s="227"/>
      <c r="AG3" s="228">
        <v>44326</v>
      </c>
      <c r="AH3" s="226"/>
      <c r="AI3" s="226"/>
      <c r="AJ3" s="226"/>
      <c r="AK3" s="226"/>
      <c r="AL3" s="226"/>
      <c r="AM3" s="226"/>
      <c r="AN3" s="227"/>
      <c r="AO3" s="225">
        <f>AG3+1</f>
        <v>44327</v>
      </c>
      <c r="AP3" s="226"/>
      <c r="AQ3" s="226"/>
      <c r="AR3" s="226"/>
      <c r="AS3" s="227"/>
      <c r="AT3" s="225">
        <f>AO3+1</f>
        <v>44328</v>
      </c>
      <c r="AU3" s="226"/>
      <c r="AV3" s="226"/>
      <c r="AW3" s="226"/>
      <c r="AX3" s="226"/>
      <c r="AY3" s="226"/>
      <c r="AZ3" s="226"/>
      <c r="BA3" s="226"/>
      <c r="BB3" s="227"/>
      <c r="BC3" s="228">
        <f>AT3+5</f>
        <v>44333</v>
      </c>
      <c r="BD3" s="226"/>
      <c r="BE3" s="226"/>
      <c r="BF3" s="226"/>
      <c r="BG3" s="226"/>
      <c r="BH3" s="226"/>
      <c r="BI3" s="226"/>
      <c r="BJ3" s="227"/>
      <c r="BK3" s="225">
        <f>BC3+1</f>
        <v>44334</v>
      </c>
      <c r="BL3" s="226"/>
      <c r="BM3" s="226"/>
      <c r="BN3" s="226"/>
      <c r="BO3" s="227"/>
      <c r="BP3" s="225">
        <f>BK3+1</f>
        <v>44335</v>
      </c>
      <c r="BQ3" s="226"/>
      <c r="BR3" s="226"/>
      <c r="BS3" s="226"/>
      <c r="BT3" s="226"/>
      <c r="BU3" s="226"/>
      <c r="BV3" s="226"/>
      <c r="BW3" s="226"/>
      <c r="BX3" s="227"/>
      <c r="BY3" s="225">
        <f>BP3+1</f>
        <v>44336</v>
      </c>
      <c r="BZ3" s="226"/>
      <c r="CA3" s="226"/>
      <c r="CB3" s="226"/>
      <c r="CC3" s="226"/>
      <c r="CD3" s="226"/>
      <c r="CE3" s="226"/>
      <c r="CF3" s="227"/>
      <c r="CG3" s="225">
        <f>BY3+5</f>
        <v>44341</v>
      </c>
      <c r="CH3" s="226"/>
      <c r="CI3" s="226"/>
      <c r="CJ3" s="226"/>
      <c r="CK3" s="227"/>
      <c r="CL3" s="225">
        <f>CG3+1</f>
        <v>44342</v>
      </c>
      <c r="CM3" s="226"/>
      <c r="CN3" s="226"/>
      <c r="CO3" s="226"/>
      <c r="CP3" s="226"/>
      <c r="CQ3" s="226"/>
      <c r="CR3" s="226"/>
      <c r="CS3" s="226"/>
      <c r="CT3" s="227"/>
      <c r="CU3" s="225">
        <f>CL3+1</f>
        <v>44343</v>
      </c>
      <c r="CV3" s="226"/>
      <c r="CW3" s="226"/>
      <c r="CX3" s="226"/>
      <c r="CY3" s="226"/>
      <c r="CZ3" s="226"/>
      <c r="DA3" s="226"/>
      <c r="DB3" s="227"/>
      <c r="DC3" s="228">
        <f>CU3+4</f>
        <v>44347</v>
      </c>
      <c r="DD3" s="226"/>
      <c r="DE3" s="226"/>
      <c r="DF3" s="226"/>
      <c r="DG3" s="226"/>
      <c r="DH3" s="226"/>
      <c r="DI3" s="226"/>
      <c r="DJ3" s="227"/>
      <c r="DK3" s="225">
        <f>DC3+1</f>
        <v>44348</v>
      </c>
      <c r="DL3" s="226"/>
      <c r="DM3" s="226"/>
      <c r="DN3" s="226"/>
      <c r="DO3" s="227"/>
      <c r="DP3" s="225">
        <f>DK3+1</f>
        <v>44349</v>
      </c>
      <c r="DQ3" s="226"/>
      <c r="DR3" s="226"/>
      <c r="DS3" s="235"/>
      <c r="DT3" s="192"/>
      <c r="DU3" s="192"/>
      <c r="DV3" s="192"/>
      <c r="DW3" s="192"/>
      <c r="DX3" s="192"/>
      <c r="DY3" s="192"/>
    </row>
    <row r="4" spans="2:129" s="15" customFormat="1" ht="19.5" thickBot="1" x14ac:dyDescent="0.3">
      <c r="B4" s="70" t="s">
        <v>8</v>
      </c>
      <c r="C4" s="213">
        <f>_xlfn.ISOWEEKNUM(C3)</f>
        <v>18</v>
      </c>
      <c r="D4" s="213"/>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2">
        <f>_xlfn.ISOWEEKNUM(AG3)</f>
        <v>19</v>
      </c>
      <c r="AH4" s="213"/>
      <c r="AI4" s="213"/>
      <c r="AJ4" s="213"/>
      <c r="AK4" s="213"/>
      <c r="AL4" s="213"/>
      <c r="AM4" s="213"/>
      <c r="AN4" s="213"/>
      <c r="AO4" s="213"/>
      <c r="AP4" s="213"/>
      <c r="AQ4" s="213"/>
      <c r="AR4" s="213"/>
      <c r="AS4" s="213"/>
      <c r="AT4" s="213"/>
      <c r="AU4" s="213"/>
      <c r="AV4" s="213"/>
      <c r="AW4" s="213"/>
      <c r="AX4" s="213"/>
      <c r="AY4" s="213"/>
      <c r="AZ4" s="213"/>
      <c r="BA4" s="213"/>
      <c r="BB4" s="213"/>
      <c r="BC4" s="213">
        <f>_xlfn.ISOWEEKNUM(BC3)</f>
        <v>20</v>
      </c>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2">
        <f>_xlfn.ISOWEEKNUM(DC3)</f>
        <v>22</v>
      </c>
      <c r="DD4" s="213"/>
      <c r="DE4" s="213"/>
      <c r="DF4" s="213"/>
      <c r="DG4" s="213"/>
      <c r="DH4" s="213"/>
      <c r="DI4" s="213"/>
      <c r="DJ4" s="213"/>
      <c r="DK4" s="213"/>
      <c r="DL4" s="213"/>
      <c r="DM4" s="213"/>
      <c r="DN4" s="213"/>
      <c r="DO4" s="213"/>
      <c r="DP4" s="213"/>
      <c r="DQ4" s="213"/>
      <c r="DR4" s="213"/>
      <c r="DS4" s="214"/>
      <c r="DT4" s="16"/>
      <c r="DU4" s="16"/>
      <c r="DV4" s="16"/>
      <c r="DW4" s="16"/>
      <c r="DX4" s="16"/>
      <c r="DY4" s="16"/>
    </row>
    <row r="5" spans="2:129" s="13" customFormat="1" ht="15.75" customHeight="1" x14ac:dyDescent="0.25">
      <c r="B5" s="22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154"/>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154"/>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2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45"/>
      <c r="J15" s="156"/>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2"/>
      <c r="R16" s="172"/>
      <c r="S16" s="172"/>
      <c r="T16" s="172"/>
      <c r="U16" s="172"/>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2"/>
      <c r="V17" s="172"/>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6"/>
      <c r="N18" s="156"/>
      <c r="O18" s="172"/>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2"/>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2"/>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2"/>
      <c r="AC21" s="172"/>
      <c r="AD21" s="172"/>
      <c r="AE21" s="172"/>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6"/>
      <c r="X22" s="172"/>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2"/>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6"/>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58"/>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39"/>
      <c r="G62" s="39"/>
      <c r="H62" s="39"/>
      <c r="I62" s="39"/>
      <c r="J62" s="157"/>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1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8"/>
      <c r="AX66" s="178"/>
      <c r="AY66" s="178"/>
      <c r="AZ66" s="178"/>
      <c r="BA66" s="178"/>
      <c r="BB66" s="178"/>
      <c r="BC66" s="179"/>
      <c r="BD66" s="180"/>
      <c r="BE66" s="180"/>
      <c r="BF66" s="180"/>
      <c r="BG66" s="180"/>
      <c r="BH66" s="180"/>
      <c r="BI66" s="180"/>
      <c r="BJ66" s="180"/>
      <c r="BK66" s="180"/>
      <c r="BL66" s="180"/>
      <c r="BM66" s="180"/>
      <c r="BN66" s="180"/>
      <c r="BO66" s="181"/>
      <c r="BP66" s="181"/>
      <c r="BQ66" s="181"/>
      <c r="BR66" s="181"/>
      <c r="BS66" s="181"/>
      <c r="BT66" s="181"/>
      <c r="BU66" s="181"/>
      <c r="BV66" s="181"/>
      <c r="BW66" s="181"/>
      <c r="BX66" s="181"/>
      <c r="BY66" s="181"/>
      <c r="BZ66" s="181"/>
      <c r="CA66" s="181"/>
      <c r="CB66" s="181"/>
      <c r="CC66" s="181"/>
      <c r="CD66" s="181"/>
      <c r="CE66" s="181"/>
      <c r="CF66" s="190"/>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0"/>
      <c r="BD67" s="161"/>
      <c r="BE67" s="161"/>
      <c r="BF67" s="161"/>
      <c r="BG67" s="161"/>
      <c r="BH67" s="161"/>
      <c r="BI67" s="161"/>
      <c r="BJ67" s="161"/>
      <c r="BK67" s="161"/>
      <c r="BL67" s="161"/>
      <c r="BM67" s="161"/>
      <c r="BN67" s="161"/>
      <c r="BO67" s="162"/>
      <c r="BP67" s="162"/>
      <c r="BQ67" s="162"/>
      <c r="BR67" s="162"/>
      <c r="BS67" s="162"/>
      <c r="BT67" s="162"/>
      <c r="BU67" s="162"/>
      <c r="BV67" s="162"/>
      <c r="BW67" s="162"/>
      <c r="BX67" s="162"/>
      <c r="BY67" s="162"/>
      <c r="BZ67" s="162"/>
      <c r="CA67" s="162"/>
      <c r="CB67" s="162"/>
      <c r="CC67" s="162"/>
      <c r="CD67" s="162"/>
      <c r="CE67" s="162"/>
      <c r="CF67" s="163"/>
      <c r="CG67" s="161"/>
      <c r="CH67" s="161"/>
      <c r="CI67" s="161"/>
      <c r="CJ67" s="161"/>
      <c r="CK67" s="162"/>
      <c r="CL67" s="162"/>
      <c r="CM67" s="162"/>
      <c r="CN67" s="162"/>
      <c r="CO67" s="162"/>
      <c r="CP67" s="162"/>
      <c r="CQ67" s="162"/>
      <c r="CR67" s="162"/>
      <c r="CS67" s="162"/>
      <c r="CT67" s="162"/>
      <c r="CU67" s="162"/>
      <c r="CV67" s="162"/>
      <c r="CW67" s="162"/>
      <c r="CX67" s="162"/>
      <c r="CY67" s="162"/>
      <c r="CZ67" s="162"/>
      <c r="DA67" s="162"/>
      <c r="DB67" s="162"/>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162"/>
      <c r="CV68" s="162"/>
      <c r="CW68" s="162"/>
      <c r="CX68" s="162"/>
      <c r="CY68" s="162"/>
      <c r="CZ68" s="162"/>
      <c r="DA68" s="162"/>
      <c r="DB68" s="162"/>
      <c r="DC68" s="160"/>
      <c r="DD68" s="161"/>
      <c r="DE68" s="161"/>
      <c r="DF68" s="161"/>
      <c r="DG68" s="161"/>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162"/>
      <c r="CT69" s="162"/>
      <c r="CU69" s="162"/>
      <c r="CV69" s="162"/>
      <c r="CW69" s="162"/>
      <c r="CX69" s="162"/>
      <c r="CY69" s="162"/>
      <c r="CZ69" s="162"/>
      <c r="DA69" s="162"/>
      <c r="DB69" s="162"/>
      <c r="DC69" s="160"/>
      <c r="DD69" s="161"/>
      <c r="DE69" s="161"/>
      <c r="DF69" s="161"/>
      <c r="DG69" s="161"/>
      <c r="DH69" s="155"/>
      <c r="DI69" s="155"/>
      <c r="DJ69" s="155"/>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3"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4"/>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O.Rutz,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32" t="s">
        <v>70</v>
      </c>
      <c r="H81" s="232"/>
      <c r="I81" s="232"/>
      <c r="J81" s="232"/>
      <c r="K81" s="232"/>
      <c r="L81" s="232"/>
      <c r="M81" s="232"/>
      <c r="N81" s="232"/>
      <c r="O81" s="232"/>
      <c r="P81" s="232"/>
      <c r="Q81" s="232"/>
      <c r="R81" s="232"/>
      <c r="S81" s="232"/>
      <c r="T81" s="232"/>
      <c r="U81" s="232"/>
      <c r="V81" s="232"/>
      <c r="W81" s="232"/>
      <c r="X81" s="232"/>
      <c r="Y81" s="232"/>
      <c r="Z81" s="232"/>
      <c r="AA81" s="232"/>
      <c r="AB81" s="232"/>
      <c r="AC81" s="232"/>
      <c r="AD81" s="232"/>
      <c r="AE81" s="232"/>
      <c r="AF81" s="232"/>
      <c r="DT81" s="33"/>
      <c r="DU81" s="33"/>
    </row>
    <row r="82" spans="3:125" x14ac:dyDescent="0.25">
      <c r="DT82" s="33"/>
      <c r="DU82" s="33"/>
    </row>
    <row r="83" spans="3:125" x14ac:dyDescent="0.25">
      <c r="D83" s="147"/>
      <c r="G83" s="232" t="s">
        <v>71</v>
      </c>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11" zoomScale="40" zoomScaleNormal="40" zoomScaleSheetLayoutView="70" zoomScalePageLayoutView="70" workbookViewId="0">
      <selection activeCell="EC49" sqref="EC49"/>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44343</v>
      </c>
    </row>
    <row r="2" spans="2:129" ht="60.75" customHeight="1" thickBot="1" x14ac:dyDescent="0.3">
      <c r="B2" s="229" t="s">
        <v>158</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c r="DL2" s="230"/>
      <c r="DM2" s="230"/>
      <c r="DN2" s="230"/>
      <c r="DO2" s="230"/>
      <c r="DP2" s="230"/>
      <c r="DQ2" s="230"/>
      <c r="DR2" s="230"/>
      <c r="DS2" s="231"/>
    </row>
    <row r="3" spans="2:129" s="99" customFormat="1" ht="62.25" customHeight="1" x14ac:dyDescent="0.5">
      <c r="B3" s="193"/>
      <c r="C3" s="228">
        <f>Base!B6</f>
        <v>44319</v>
      </c>
      <c r="D3" s="226"/>
      <c r="E3" s="226"/>
      <c r="F3" s="226"/>
      <c r="G3" s="226"/>
      <c r="H3" s="226"/>
      <c r="I3" s="226"/>
      <c r="J3" s="227"/>
      <c r="K3" s="225">
        <f>C3+1</f>
        <v>44320</v>
      </c>
      <c r="L3" s="226"/>
      <c r="M3" s="226"/>
      <c r="N3" s="226"/>
      <c r="O3" s="227"/>
      <c r="P3" s="225">
        <f>K3+1</f>
        <v>44321</v>
      </c>
      <c r="Q3" s="226"/>
      <c r="R3" s="226"/>
      <c r="S3" s="226"/>
      <c r="T3" s="226"/>
      <c r="U3" s="226"/>
      <c r="V3" s="226"/>
      <c r="W3" s="226"/>
      <c r="X3" s="227"/>
      <c r="Y3" s="225">
        <f>P3+1</f>
        <v>44322</v>
      </c>
      <c r="Z3" s="226"/>
      <c r="AA3" s="226"/>
      <c r="AB3" s="226"/>
      <c r="AC3" s="226"/>
      <c r="AD3" s="226"/>
      <c r="AE3" s="226"/>
      <c r="AF3" s="227"/>
      <c r="AG3" s="228">
        <v>44326</v>
      </c>
      <c r="AH3" s="226"/>
      <c r="AI3" s="226"/>
      <c r="AJ3" s="226"/>
      <c r="AK3" s="226"/>
      <c r="AL3" s="226"/>
      <c r="AM3" s="226"/>
      <c r="AN3" s="227"/>
      <c r="AO3" s="225">
        <f>AG3+1</f>
        <v>44327</v>
      </c>
      <c r="AP3" s="226"/>
      <c r="AQ3" s="226"/>
      <c r="AR3" s="226"/>
      <c r="AS3" s="227"/>
      <c r="AT3" s="225">
        <f>AO3+1</f>
        <v>44328</v>
      </c>
      <c r="AU3" s="226"/>
      <c r="AV3" s="226"/>
      <c r="AW3" s="226"/>
      <c r="AX3" s="226"/>
      <c r="AY3" s="226"/>
      <c r="AZ3" s="226"/>
      <c r="BA3" s="226"/>
      <c r="BB3" s="227"/>
      <c r="BC3" s="228">
        <f>AT3+5</f>
        <v>44333</v>
      </c>
      <c r="BD3" s="226"/>
      <c r="BE3" s="226"/>
      <c r="BF3" s="226"/>
      <c r="BG3" s="226"/>
      <c r="BH3" s="226"/>
      <c r="BI3" s="226"/>
      <c r="BJ3" s="227"/>
      <c r="BK3" s="225">
        <f>BC3+1</f>
        <v>44334</v>
      </c>
      <c r="BL3" s="226"/>
      <c r="BM3" s="226"/>
      <c r="BN3" s="226"/>
      <c r="BO3" s="227"/>
      <c r="BP3" s="225">
        <f>BK3+1</f>
        <v>44335</v>
      </c>
      <c r="BQ3" s="226"/>
      <c r="BR3" s="226"/>
      <c r="BS3" s="226"/>
      <c r="BT3" s="226"/>
      <c r="BU3" s="226"/>
      <c r="BV3" s="226"/>
      <c r="BW3" s="226"/>
      <c r="BX3" s="227"/>
      <c r="BY3" s="225">
        <f>BP3+1</f>
        <v>44336</v>
      </c>
      <c r="BZ3" s="226"/>
      <c r="CA3" s="226"/>
      <c r="CB3" s="226"/>
      <c r="CC3" s="226"/>
      <c r="CD3" s="226"/>
      <c r="CE3" s="226"/>
      <c r="CF3" s="227"/>
      <c r="CG3" s="225">
        <f>BY3+5</f>
        <v>44341</v>
      </c>
      <c r="CH3" s="226"/>
      <c r="CI3" s="226"/>
      <c r="CJ3" s="226"/>
      <c r="CK3" s="227"/>
      <c r="CL3" s="225">
        <f>CG3+1</f>
        <v>44342</v>
      </c>
      <c r="CM3" s="226"/>
      <c r="CN3" s="226"/>
      <c r="CO3" s="226"/>
      <c r="CP3" s="226"/>
      <c r="CQ3" s="226"/>
      <c r="CR3" s="226"/>
      <c r="CS3" s="226"/>
      <c r="CT3" s="227"/>
      <c r="CU3" s="225">
        <f>CL3+1</f>
        <v>44343</v>
      </c>
      <c r="CV3" s="226"/>
      <c r="CW3" s="226"/>
      <c r="CX3" s="226"/>
      <c r="CY3" s="226"/>
      <c r="CZ3" s="226"/>
      <c r="DA3" s="226"/>
      <c r="DB3" s="227"/>
      <c r="DC3" s="228">
        <f>CU3+4</f>
        <v>44347</v>
      </c>
      <c r="DD3" s="226"/>
      <c r="DE3" s="226"/>
      <c r="DF3" s="226"/>
      <c r="DG3" s="226"/>
      <c r="DH3" s="226"/>
      <c r="DI3" s="226"/>
      <c r="DJ3" s="227"/>
      <c r="DK3" s="225">
        <f>DC3+1</f>
        <v>44348</v>
      </c>
      <c r="DL3" s="226"/>
      <c r="DM3" s="226"/>
      <c r="DN3" s="226"/>
      <c r="DO3" s="227"/>
      <c r="DP3" s="225">
        <f>DK3+1</f>
        <v>44349</v>
      </c>
      <c r="DQ3" s="226"/>
      <c r="DR3" s="226"/>
      <c r="DS3" s="235"/>
      <c r="DT3" s="192"/>
      <c r="DU3" s="192"/>
      <c r="DV3" s="192"/>
      <c r="DW3" s="192"/>
      <c r="DX3" s="192"/>
      <c r="DY3" s="192"/>
    </row>
    <row r="4" spans="2:129" s="15" customFormat="1" ht="19.5" thickBot="1" x14ac:dyDescent="0.3">
      <c r="B4" s="70" t="s">
        <v>8</v>
      </c>
      <c r="C4" s="213">
        <f>_xlfn.ISOWEEKNUM(C3)</f>
        <v>18</v>
      </c>
      <c r="D4" s="213"/>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2">
        <f>_xlfn.ISOWEEKNUM(AG3)</f>
        <v>19</v>
      </c>
      <c r="AH4" s="213"/>
      <c r="AI4" s="213"/>
      <c r="AJ4" s="213"/>
      <c r="AK4" s="213"/>
      <c r="AL4" s="213"/>
      <c r="AM4" s="213"/>
      <c r="AN4" s="213"/>
      <c r="AO4" s="213"/>
      <c r="AP4" s="213"/>
      <c r="AQ4" s="213"/>
      <c r="AR4" s="213"/>
      <c r="AS4" s="213"/>
      <c r="AT4" s="213"/>
      <c r="AU4" s="213"/>
      <c r="AV4" s="213"/>
      <c r="AW4" s="213"/>
      <c r="AX4" s="213"/>
      <c r="AY4" s="213"/>
      <c r="AZ4" s="213"/>
      <c r="BA4" s="213"/>
      <c r="BB4" s="213"/>
      <c r="BC4" s="213">
        <f>_xlfn.ISOWEEKNUM(BC3)</f>
        <v>20</v>
      </c>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2">
        <f>_xlfn.ISOWEEKNUM(DC3)</f>
        <v>22</v>
      </c>
      <c r="DD4" s="213"/>
      <c r="DE4" s="213"/>
      <c r="DF4" s="213"/>
      <c r="DG4" s="213"/>
      <c r="DH4" s="213"/>
      <c r="DI4" s="213"/>
      <c r="DJ4" s="213"/>
      <c r="DK4" s="213"/>
      <c r="DL4" s="213"/>
      <c r="DM4" s="213"/>
      <c r="DN4" s="213"/>
      <c r="DO4" s="213"/>
      <c r="DP4" s="213"/>
      <c r="DQ4" s="213"/>
      <c r="DR4" s="213"/>
      <c r="DS4" s="214"/>
      <c r="DT4" s="16"/>
      <c r="DU4" s="16"/>
      <c r="DV4" s="16"/>
      <c r="DW4" s="16"/>
      <c r="DX4" s="16"/>
      <c r="DY4" s="16"/>
    </row>
    <row r="5" spans="2:129" s="13" customFormat="1" ht="15.75" customHeight="1" x14ac:dyDescent="0.25">
      <c r="B5" s="22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2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6"/>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6"/>
      <c r="M16" s="45"/>
      <c r="N16" s="45"/>
      <c r="O16" s="44"/>
      <c r="P16" s="44"/>
      <c r="Q16" s="44"/>
      <c r="R16" s="44"/>
      <c r="S16" s="44"/>
      <c r="T16" s="172"/>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2"/>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6"/>
      <c r="O18" s="172"/>
      <c r="P18" s="172"/>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2"/>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2"/>
      <c r="V20" s="172"/>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2"/>
      <c r="Z21" s="172"/>
      <c r="AA21" s="172"/>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99"/>
      <c r="X22" s="44"/>
      <c r="Y22" s="44"/>
      <c r="Z22" s="44"/>
      <c r="AA22" s="44"/>
      <c r="AB22" s="44"/>
      <c r="AC22" s="172"/>
      <c r="AD22" s="172"/>
      <c r="AE22" s="172"/>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2"/>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6"/>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171"/>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1"/>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59"/>
      <c r="AX51" s="159"/>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59"/>
      <c r="AZ52" s="159"/>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157"/>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1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8"/>
      <c r="AX66" s="178"/>
      <c r="AY66" s="178"/>
      <c r="AZ66" s="178"/>
      <c r="BA66" s="178"/>
      <c r="BB66" s="178"/>
      <c r="BC66" s="179"/>
      <c r="BD66" s="180"/>
      <c r="BE66" s="180"/>
      <c r="BF66" s="180"/>
      <c r="BG66" s="180"/>
      <c r="BH66" s="180"/>
      <c r="BI66" s="180"/>
      <c r="BJ66" s="180"/>
      <c r="BK66" s="180"/>
      <c r="BL66" s="180"/>
      <c r="BM66" s="180"/>
      <c r="BN66" s="180"/>
      <c r="BO66" s="181"/>
      <c r="BP66" s="181"/>
      <c r="BQ66" s="181"/>
      <c r="BR66" s="181"/>
      <c r="BS66" s="181"/>
      <c r="BT66" s="181"/>
      <c r="BU66" s="181"/>
      <c r="BV66" s="181"/>
      <c r="BW66" s="181"/>
      <c r="BX66" s="181"/>
      <c r="BY66" s="181"/>
      <c r="BZ66" s="181"/>
      <c r="CA66" s="181"/>
      <c r="CB66" s="181"/>
      <c r="CC66" s="181"/>
      <c r="CD66" s="181"/>
      <c r="CE66" s="181"/>
      <c r="CF66" s="190"/>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0"/>
      <c r="BD67" s="161"/>
      <c r="BE67" s="161"/>
      <c r="BF67" s="161"/>
      <c r="BG67" s="161"/>
      <c r="BH67" s="161"/>
      <c r="BI67" s="161"/>
      <c r="BJ67" s="161"/>
      <c r="BK67" s="161"/>
      <c r="BL67" s="161"/>
      <c r="BM67" s="161"/>
      <c r="BN67" s="161"/>
      <c r="BO67" s="162"/>
      <c r="BP67" s="162"/>
      <c r="BQ67" s="162"/>
      <c r="BR67" s="162"/>
      <c r="BS67" s="162"/>
      <c r="BT67" s="162"/>
      <c r="BU67" s="162"/>
      <c r="BV67" s="162"/>
      <c r="BW67" s="162"/>
      <c r="BX67" s="162"/>
      <c r="BY67" s="162"/>
      <c r="BZ67" s="162"/>
      <c r="CA67" s="162"/>
      <c r="CB67" s="162"/>
      <c r="CC67" s="162"/>
      <c r="CD67" s="162"/>
      <c r="CE67" s="162"/>
      <c r="CF67" s="163"/>
      <c r="CG67" s="161"/>
      <c r="CH67" s="161"/>
      <c r="CI67" s="161"/>
      <c r="CJ67" s="161"/>
      <c r="CK67" s="162"/>
      <c r="CL67" s="162"/>
      <c r="CM67" s="162"/>
      <c r="CN67" s="162"/>
      <c r="CO67" s="162"/>
      <c r="CP67" s="162"/>
      <c r="CQ67" s="162"/>
      <c r="CR67" s="162"/>
      <c r="CS67" s="162"/>
      <c r="CT67" s="162"/>
      <c r="CU67" s="162"/>
      <c r="CV67" s="162"/>
      <c r="CW67" s="162"/>
      <c r="CX67" s="162"/>
      <c r="CY67" s="162"/>
      <c r="CZ67" s="162"/>
      <c r="DA67" s="162"/>
      <c r="DB67" s="162"/>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162"/>
      <c r="CV68" s="162"/>
      <c r="CW68" s="162"/>
      <c r="CX68" s="162"/>
      <c r="CY68" s="162"/>
      <c r="CZ68" s="162"/>
      <c r="DA68" s="162"/>
      <c r="DB68" s="162"/>
      <c r="DC68" s="160"/>
      <c r="DD68" s="161"/>
      <c r="DE68" s="161"/>
      <c r="DF68" s="161"/>
      <c r="DG68" s="161"/>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162"/>
      <c r="CT69" s="162"/>
      <c r="CU69" s="162"/>
      <c r="CV69" s="162"/>
      <c r="CW69" s="162"/>
      <c r="CX69" s="162"/>
      <c r="CY69" s="162"/>
      <c r="CZ69" s="162"/>
      <c r="DA69" s="162"/>
      <c r="DB69" s="162"/>
      <c r="DC69" s="160"/>
      <c r="DD69" s="161"/>
      <c r="DE69" s="161"/>
      <c r="DF69" s="161"/>
      <c r="DG69" s="161"/>
      <c r="DH69" s="155"/>
      <c r="DI69" s="155"/>
      <c r="DJ69" s="155"/>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3"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4"/>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200"/>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O.Rutz,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1"/>
      <c r="AA77" s="38"/>
      <c r="AB77" s="38"/>
      <c r="AC77" s="38"/>
      <c r="AD77" s="201"/>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32" t="s">
        <v>70</v>
      </c>
      <c r="H81" s="232"/>
      <c r="I81" s="232"/>
      <c r="J81" s="232"/>
      <c r="K81" s="232"/>
      <c r="L81" s="232"/>
      <c r="M81" s="232"/>
      <c r="N81" s="232"/>
      <c r="O81" s="232"/>
      <c r="P81" s="232"/>
      <c r="Q81" s="232"/>
      <c r="R81" s="232"/>
      <c r="S81" s="232"/>
      <c r="T81" s="232"/>
      <c r="U81" s="232"/>
      <c r="V81" s="232"/>
      <c r="W81" s="232"/>
      <c r="X81" s="232"/>
      <c r="Y81" s="232"/>
      <c r="Z81" s="232"/>
      <c r="AA81" s="232"/>
      <c r="AB81" s="232"/>
      <c r="AC81" s="232"/>
      <c r="AD81" s="232"/>
      <c r="AE81" s="232"/>
      <c r="AF81" s="232"/>
      <c r="DT81" s="33"/>
      <c r="DU81" s="33"/>
    </row>
    <row r="82" spans="3:125" x14ac:dyDescent="0.25">
      <c r="DT82" s="33"/>
      <c r="DU82" s="33"/>
    </row>
    <row r="83" spans="3:125" x14ac:dyDescent="0.25">
      <c r="D83" s="147"/>
      <c r="G83" s="232" t="s">
        <v>71</v>
      </c>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92D050"/>
    <pageSetUpPr fitToPage="1"/>
  </sheetPr>
  <dimension ref="B1:DY93"/>
  <sheetViews>
    <sheetView topLeftCell="A4" zoomScale="70" zoomScaleNormal="70" zoomScaleSheetLayoutView="70" zoomScalePageLayoutView="70" workbookViewId="0">
      <selection activeCell="DS69" sqref="DS69"/>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44343</v>
      </c>
    </row>
    <row r="2" spans="2:129" ht="60.75" customHeight="1" thickBot="1" x14ac:dyDescent="0.3">
      <c r="B2" s="229" t="s">
        <v>158</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c r="DL2" s="230"/>
      <c r="DM2" s="230"/>
      <c r="DN2" s="230"/>
      <c r="DO2" s="230"/>
      <c r="DP2" s="230"/>
      <c r="DQ2" s="230"/>
      <c r="DR2" s="230"/>
      <c r="DS2" s="231"/>
    </row>
    <row r="3" spans="2:129" s="99" customFormat="1" ht="62.25" customHeight="1" x14ac:dyDescent="0.5">
      <c r="B3" s="193"/>
      <c r="C3" s="228">
        <f>Base!B6</f>
        <v>44319</v>
      </c>
      <c r="D3" s="226"/>
      <c r="E3" s="226"/>
      <c r="F3" s="226"/>
      <c r="G3" s="226"/>
      <c r="H3" s="226"/>
      <c r="I3" s="226"/>
      <c r="J3" s="227"/>
      <c r="K3" s="225">
        <f>C3+1</f>
        <v>44320</v>
      </c>
      <c r="L3" s="226"/>
      <c r="M3" s="226"/>
      <c r="N3" s="226"/>
      <c r="O3" s="227"/>
      <c r="P3" s="225">
        <f>K3+1</f>
        <v>44321</v>
      </c>
      <c r="Q3" s="226"/>
      <c r="R3" s="226"/>
      <c r="S3" s="226"/>
      <c r="T3" s="226"/>
      <c r="U3" s="226"/>
      <c r="V3" s="226"/>
      <c r="W3" s="226"/>
      <c r="X3" s="227"/>
      <c r="Y3" s="225">
        <f>P3+1</f>
        <v>44322</v>
      </c>
      <c r="Z3" s="226"/>
      <c r="AA3" s="226"/>
      <c r="AB3" s="226"/>
      <c r="AC3" s="226"/>
      <c r="AD3" s="226"/>
      <c r="AE3" s="226"/>
      <c r="AF3" s="227"/>
      <c r="AG3" s="228">
        <v>44326</v>
      </c>
      <c r="AH3" s="226"/>
      <c r="AI3" s="226"/>
      <c r="AJ3" s="226"/>
      <c r="AK3" s="226"/>
      <c r="AL3" s="226"/>
      <c r="AM3" s="226"/>
      <c r="AN3" s="227"/>
      <c r="AO3" s="225">
        <f>AG3+1</f>
        <v>44327</v>
      </c>
      <c r="AP3" s="226"/>
      <c r="AQ3" s="226"/>
      <c r="AR3" s="226"/>
      <c r="AS3" s="227"/>
      <c r="AT3" s="225">
        <f>AO3+1</f>
        <v>44328</v>
      </c>
      <c r="AU3" s="226"/>
      <c r="AV3" s="226"/>
      <c r="AW3" s="226"/>
      <c r="AX3" s="226"/>
      <c r="AY3" s="226"/>
      <c r="AZ3" s="226"/>
      <c r="BA3" s="226"/>
      <c r="BB3" s="227"/>
      <c r="BC3" s="228">
        <f>AT3+5</f>
        <v>44333</v>
      </c>
      <c r="BD3" s="226"/>
      <c r="BE3" s="226"/>
      <c r="BF3" s="226"/>
      <c r="BG3" s="226"/>
      <c r="BH3" s="226"/>
      <c r="BI3" s="226"/>
      <c r="BJ3" s="227"/>
      <c r="BK3" s="225">
        <f>BC3+1</f>
        <v>44334</v>
      </c>
      <c r="BL3" s="226"/>
      <c r="BM3" s="226"/>
      <c r="BN3" s="226"/>
      <c r="BO3" s="227"/>
      <c r="BP3" s="225">
        <f>BK3+1</f>
        <v>44335</v>
      </c>
      <c r="BQ3" s="226"/>
      <c r="BR3" s="226"/>
      <c r="BS3" s="226"/>
      <c r="BT3" s="226"/>
      <c r="BU3" s="226"/>
      <c r="BV3" s="226"/>
      <c r="BW3" s="226"/>
      <c r="BX3" s="227"/>
      <c r="BY3" s="225">
        <f>BP3+1</f>
        <v>44336</v>
      </c>
      <c r="BZ3" s="226"/>
      <c r="CA3" s="226"/>
      <c r="CB3" s="226"/>
      <c r="CC3" s="226"/>
      <c r="CD3" s="226"/>
      <c r="CE3" s="226"/>
      <c r="CF3" s="227"/>
      <c r="CG3" s="225">
        <f>BY3+5</f>
        <v>44341</v>
      </c>
      <c r="CH3" s="226"/>
      <c r="CI3" s="226"/>
      <c r="CJ3" s="226"/>
      <c r="CK3" s="227"/>
      <c r="CL3" s="225">
        <f>CG3+1</f>
        <v>44342</v>
      </c>
      <c r="CM3" s="226"/>
      <c r="CN3" s="226"/>
      <c r="CO3" s="226"/>
      <c r="CP3" s="226"/>
      <c r="CQ3" s="226"/>
      <c r="CR3" s="226"/>
      <c r="CS3" s="226"/>
      <c r="CT3" s="227"/>
      <c r="CU3" s="225">
        <f>CL3+1</f>
        <v>44343</v>
      </c>
      <c r="CV3" s="226"/>
      <c r="CW3" s="226"/>
      <c r="CX3" s="226"/>
      <c r="CY3" s="226"/>
      <c r="CZ3" s="226"/>
      <c r="DA3" s="226"/>
      <c r="DB3" s="227"/>
      <c r="DC3" s="228">
        <f>CU3+4</f>
        <v>44347</v>
      </c>
      <c r="DD3" s="226"/>
      <c r="DE3" s="226"/>
      <c r="DF3" s="226"/>
      <c r="DG3" s="226"/>
      <c r="DH3" s="226"/>
      <c r="DI3" s="226"/>
      <c r="DJ3" s="227"/>
      <c r="DK3" s="225">
        <f>DC3+1</f>
        <v>44348</v>
      </c>
      <c r="DL3" s="226"/>
      <c r="DM3" s="226"/>
      <c r="DN3" s="226"/>
      <c r="DO3" s="227"/>
      <c r="DP3" s="225">
        <f>DK3+1</f>
        <v>44349</v>
      </c>
      <c r="DQ3" s="226"/>
      <c r="DR3" s="226"/>
      <c r="DS3" s="235"/>
      <c r="DT3" s="192"/>
      <c r="DU3" s="192"/>
      <c r="DV3" s="192"/>
      <c r="DW3" s="192"/>
      <c r="DX3" s="192"/>
      <c r="DY3" s="192"/>
    </row>
    <row r="4" spans="2:129" s="15" customFormat="1" ht="19.5" thickBot="1" x14ac:dyDescent="0.3">
      <c r="B4" s="70" t="s">
        <v>8</v>
      </c>
      <c r="C4" s="213">
        <f>_xlfn.ISOWEEKNUM(C3)</f>
        <v>18</v>
      </c>
      <c r="D4" s="213"/>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2">
        <f>_xlfn.ISOWEEKNUM(AG3)</f>
        <v>19</v>
      </c>
      <c r="AH4" s="213"/>
      <c r="AI4" s="213"/>
      <c r="AJ4" s="213"/>
      <c r="AK4" s="213"/>
      <c r="AL4" s="213"/>
      <c r="AM4" s="213"/>
      <c r="AN4" s="213"/>
      <c r="AO4" s="213"/>
      <c r="AP4" s="213"/>
      <c r="AQ4" s="213"/>
      <c r="AR4" s="213"/>
      <c r="AS4" s="213"/>
      <c r="AT4" s="213"/>
      <c r="AU4" s="213"/>
      <c r="AV4" s="213"/>
      <c r="AW4" s="213"/>
      <c r="AX4" s="213"/>
      <c r="AY4" s="213"/>
      <c r="AZ4" s="213"/>
      <c r="BA4" s="213"/>
      <c r="BB4" s="213"/>
      <c r="BC4" s="213">
        <f>_xlfn.ISOWEEKNUM(BC3)</f>
        <v>20</v>
      </c>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2">
        <f>_xlfn.ISOWEEKNUM(DC3)</f>
        <v>22</v>
      </c>
      <c r="DD4" s="213"/>
      <c r="DE4" s="213"/>
      <c r="DF4" s="213"/>
      <c r="DG4" s="213"/>
      <c r="DH4" s="213"/>
      <c r="DI4" s="213"/>
      <c r="DJ4" s="213"/>
      <c r="DK4" s="213"/>
      <c r="DL4" s="213"/>
      <c r="DM4" s="213"/>
      <c r="DN4" s="213"/>
      <c r="DO4" s="213"/>
      <c r="DP4" s="213"/>
      <c r="DQ4" s="213"/>
      <c r="DR4" s="213"/>
      <c r="DS4" s="214"/>
      <c r="DT4" s="16"/>
      <c r="DU4" s="16"/>
      <c r="DV4" s="16"/>
      <c r="DW4" s="16"/>
      <c r="DX4" s="16"/>
      <c r="DY4" s="16"/>
    </row>
    <row r="5" spans="2:129" s="13" customFormat="1" ht="15.75" customHeight="1" x14ac:dyDescent="0.25">
      <c r="B5" s="22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2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6"/>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6"/>
      <c r="M16" s="45"/>
      <c r="N16" s="45"/>
      <c r="O16" s="44"/>
      <c r="P16" s="44"/>
      <c r="Q16" s="44"/>
      <c r="R16" s="44"/>
      <c r="S16" s="44"/>
      <c r="T16" s="172"/>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2"/>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6"/>
      <c r="O18" s="172"/>
      <c r="P18" s="172"/>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2"/>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2"/>
      <c r="V20" s="172"/>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2"/>
      <c r="Z21" s="172"/>
      <c r="AA21" s="172"/>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99"/>
      <c r="X22" s="44"/>
      <c r="Y22" s="44"/>
      <c r="Z22" s="44"/>
      <c r="AA22" s="44"/>
      <c r="AB22" s="44"/>
      <c r="AC22" s="172"/>
      <c r="AD22" s="172"/>
      <c r="AE22" s="172"/>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2"/>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6"/>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171"/>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1"/>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59"/>
      <c r="AX51" s="159"/>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59"/>
      <c r="AZ52" s="159"/>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157"/>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1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44"/>
      <c r="AX66" s="44"/>
      <c r="AY66" s="44"/>
      <c r="AZ66" s="44"/>
      <c r="BA66" s="44"/>
      <c r="BB66" s="44"/>
      <c r="BC66" s="110"/>
      <c r="BD66" s="111"/>
      <c r="BE66" s="111"/>
      <c r="BF66" s="111"/>
      <c r="BG66" s="111"/>
      <c r="BH66" s="111"/>
      <c r="BI66" s="111"/>
      <c r="BJ66" s="111"/>
      <c r="BK66" s="111"/>
      <c r="BL66" s="111"/>
      <c r="BM66" s="111"/>
      <c r="BN66" s="111"/>
      <c r="BO66" s="112"/>
      <c r="BP66" s="112"/>
      <c r="BQ66" s="112"/>
      <c r="BR66" s="112"/>
      <c r="BS66" s="112"/>
      <c r="BT66" s="112"/>
      <c r="BU66" s="112"/>
      <c r="BV66" s="112"/>
      <c r="BW66" s="112"/>
      <c r="BX66" s="112"/>
      <c r="BY66" s="112"/>
      <c r="BZ66" s="112"/>
      <c r="CA66" s="112"/>
      <c r="CB66" s="112"/>
      <c r="CC66" s="112"/>
      <c r="CD66" s="112"/>
      <c r="CE66" s="112"/>
      <c r="CF66" s="185"/>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64"/>
      <c r="BD67" s="39"/>
      <c r="BE67" s="39"/>
      <c r="BF67" s="39"/>
      <c r="BG67" s="39"/>
      <c r="BH67" s="39"/>
      <c r="BI67" s="39"/>
      <c r="BJ67" s="39"/>
      <c r="BK67" s="39"/>
      <c r="BL67" s="39"/>
      <c r="BM67" s="39"/>
      <c r="BN67" s="39"/>
      <c r="BO67" s="38"/>
      <c r="BP67" s="38"/>
      <c r="BQ67" s="38"/>
      <c r="BR67" s="38"/>
      <c r="BS67" s="38"/>
      <c r="BT67" s="38"/>
      <c r="BU67" s="38"/>
      <c r="BV67" s="38"/>
      <c r="BW67" s="38"/>
      <c r="BX67" s="38"/>
      <c r="BY67" s="38"/>
      <c r="BZ67" s="38"/>
      <c r="CA67" s="38"/>
      <c r="CB67" s="38"/>
      <c r="CC67" s="38"/>
      <c r="CD67" s="38"/>
      <c r="CE67" s="38"/>
      <c r="CF67" s="60"/>
      <c r="CG67" s="39"/>
      <c r="CH67" s="39"/>
      <c r="CI67" s="39"/>
      <c r="CJ67" s="39"/>
      <c r="CK67" s="38"/>
      <c r="CL67" s="38"/>
      <c r="CM67" s="38"/>
      <c r="CN67" s="38"/>
      <c r="CO67" s="38"/>
      <c r="CP67" s="38"/>
      <c r="CQ67" s="38"/>
      <c r="CR67" s="38"/>
      <c r="CS67" s="38"/>
      <c r="CT67" s="38"/>
      <c r="CU67" s="38"/>
      <c r="CV67" s="38"/>
      <c r="CW67" s="38"/>
      <c r="CX67" s="38"/>
      <c r="CY67" s="38"/>
      <c r="CZ67" s="38"/>
      <c r="DA67" s="38"/>
      <c r="DB67" s="38"/>
      <c r="DC67" s="64"/>
      <c r="DD67" s="39"/>
      <c r="DE67" s="39"/>
      <c r="DF67" s="39"/>
      <c r="DG67" s="39"/>
      <c r="DH67" s="39"/>
      <c r="DI67" s="39"/>
      <c r="DJ67" s="39"/>
      <c r="DK67" s="39"/>
      <c r="DL67" s="39"/>
      <c r="DM67" s="39"/>
      <c r="DN67" s="39"/>
      <c r="DO67" s="38"/>
      <c r="DP67" s="38"/>
      <c r="DQ67" s="38"/>
      <c r="DR67" s="38"/>
      <c r="DS67" s="60"/>
    </row>
    <row r="68" spans="2:125" ht="30"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38"/>
      <c r="CV68" s="38"/>
      <c r="CW68" s="38"/>
      <c r="CX68" s="38"/>
      <c r="CY68" s="38"/>
      <c r="CZ68" s="38"/>
      <c r="DA68" s="38"/>
      <c r="DB68" s="38"/>
      <c r="DC68" s="64"/>
      <c r="DD68" s="39"/>
      <c r="DE68" s="39"/>
      <c r="DF68" s="39"/>
      <c r="DG68" s="39"/>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240"/>
      <c r="CT69" s="240"/>
      <c r="CU69" s="240"/>
      <c r="CV69" s="240"/>
      <c r="CW69" s="38"/>
      <c r="CX69" s="38"/>
      <c r="CY69" s="38"/>
      <c r="CZ69" s="38"/>
      <c r="DA69" s="38"/>
      <c r="DB69" s="38"/>
      <c r="DC69" s="64"/>
      <c r="DD69" s="39"/>
      <c r="DE69" s="39"/>
      <c r="DF69" s="39"/>
      <c r="DG69" s="39"/>
      <c r="DH69" s="39"/>
      <c r="DI69" s="39"/>
      <c r="DJ69" s="39"/>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3"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4"/>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200"/>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30" x14ac:dyDescent="0.25">
      <c r="B76" s="128" t="str">
        <f>Base!I63</f>
        <v>603 réunion avec monsieur O.Rutz,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239"/>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1"/>
      <c r="AA77" s="38"/>
      <c r="AB77" s="38"/>
      <c r="AC77" s="38"/>
      <c r="AD77" s="201"/>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32" t="s">
        <v>70</v>
      </c>
      <c r="H81" s="232"/>
      <c r="I81" s="232"/>
      <c r="J81" s="232"/>
      <c r="K81" s="232"/>
      <c r="L81" s="232"/>
      <c r="M81" s="232"/>
      <c r="N81" s="232"/>
      <c r="O81" s="232"/>
      <c r="P81" s="232"/>
      <c r="Q81" s="232"/>
      <c r="R81" s="232"/>
      <c r="S81" s="232"/>
      <c r="T81" s="232"/>
      <c r="U81" s="232"/>
      <c r="V81" s="232"/>
      <c r="W81" s="232"/>
      <c r="X81" s="232"/>
      <c r="Y81" s="232"/>
      <c r="Z81" s="232"/>
      <c r="AA81" s="232"/>
      <c r="AB81" s="232"/>
      <c r="AC81" s="232"/>
      <c r="AD81" s="232"/>
      <c r="AE81" s="232"/>
      <c r="AF81" s="232"/>
      <c r="DT81" s="33"/>
      <c r="DU81" s="33"/>
    </row>
    <row r="82" spans="3:125" x14ac:dyDescent="0.25">
      <c r="DT82" s="33"/>
      <c r="DU82" s="33"/>
    </row>
    <row r="83" spans="3:125" x14ac:dyDescent="0.25">
      <c r="D83" s="147"/>
      <c r="G83" s="232" t="s">
        <v>71</v>
      </c>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G81:AF81"/>
    <mergeCell ref="G83:AF83"/>
    <mergeCell ref="B5:B6"/>
    <mergeCell ref="B13:B14"/>
    <mergeCell ref="B31:B32"/>
    <mergeCell ref="B56:B57"/>
    <mergeCell ref="B64:B65"/>
    <mergeCell ref="B72:B73"/>
    <mergeCell ref="DK3:DO3"/>
    <mergeCell ref="DP3:DS3"/>
    <mergeCell ref="C4:AF4"/>
    <mergeCell ref="AG4:BB4"/>
    <mergeCell ref="BC4:CF4"/>
    <mergeCell ref="CG4:DB4"/>
    <mergeCell ref="DC4:DS4"/>
    <mergeCell ref="BP3:BX3"/>
    <mergeCell ref="BY3:CF3"/>
    <mergeCell ref="CG3:CK3"/>
    <mergeCell ref="CL3:CT3"/>
    <mergeCell ref="CU3:DB3"/>
    <mergeCell ref="DC3:DJ3"/>
    <mergeCell ref="B2:DS2"/>
    <mergeCell ref="C3:J3"/>
    <mergeCell ref="K3:O3"/>
    <mergeCell ref="P3:X3"/>
    <mergeCell ref="Y3:AF3"/>
    <mergeCell ref="AG3:AN3"/>
    <mergeCell ref="AO3:AS3"/>
    <mergeCell ref="AT3:BB3"/>
    <mergeCell ref="BC3:BJ3"/>
    <mergeCell ref="BK3:BO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58"/>
  <sheetViews>
    <sheetView tabSelected="1" topLeftCell="A133" zoomScale="85" zoomScaleNormal="85" workbookViewId="0">
      <selection activeCell="E146" sqref="E146"/>
    </sheetView>
  </sheetViews>
  <sheetFormatPr baseColWidth="10" defaultColWidth="11.42578125" defaultRowHeight="15" x14ac:dyDescent="0.25"/>
  <cols>
    <col min="1" max="1" width="2" style="17" customWidth="1"/>
    <col min="2" max="2" width="10.28515625" style="100" bestFit="1" customWidth="1"/>
    <col min="3" max="3" width="8.7109375" style="19" hidden="1" customWidth="1"/>
    <col min="4" max="4" width="32" style="19" customWidth="1"/>
    <col min="5" max="5" width="14" style="19" customWidth="1"/>
    <col min="6" max="6" width="11.42578125" style="19" customWidth="1"/>
    <col min="7" max="7" width="9.7109375" style="19" customWidth="1"/>
    <col min="8" max="8" width="85.7109375" style="19" customWidth="1"/>
    <col min="9" max="16384" width="11.42578125" style="17"/>
  </cols>
  <sheetData>
    <row r="1" spans="2:8" x14ac:dyDescent="0.25">
      <c r="C1" s="18" t="s">
        <v>2</v>
      </c>
      <c r="D1" s="236" t="str">
        <f>CONCATENATE(Base!C6," ",Base!D6)</f>
        <v>Costa Paola</v>
      </c>
      <c r="E1" s="236"/>
      <c r="G1" s="20" t="s">
        <v>25</v>
      </c>
      <c r="H1" s="202">
        <f ca="1">TODAY()</f>
        <v>44343</v>
      </c>
    </row>
    <row r="2" spans="2:8" ht="42.75" customHeight="1" thickBot="1" x14ac:dyDescent="0.3">
      <c r="B2" s="237" t="s">
        <v>10</v>
      </c>
      <c r="C2" s="237"/>
      <c r="D2" s="237"/>
      <c r="E2" s="237"/>
      <c r="F2" s="237"/>
      <c r="G2" s="237"/>
      <c r="H2" s="237"/>
    </row>
    <row r="3" spans="2:8" s="99" customFormat="1" ht="15.75" thickBot="1" x14ac:dyDescent="0.3">
      <c r="B3" s="101" t="s">
        <v>0</v>
      </c>
      <c r="C3" s="98" t="s">
        <v>9</v>
      </c>
      <c r="D3" s="195" t="s">
        <v>37</v>
      </c>
      <c r="E3" s="205" t="s">
        <v>26</v>
      </c>
      <c r="F3" s="205" t="s">
        <v>27</v>
      </c>
      <c r="G3" s="103" t="s">
        <v>28</v>
      </c>
      <c r="H3" s="203" t="s">
        <v>1</v>
      </c>
    </row>
    <row r="4" spans="2:8" ht="30" x14ac:dyDescent="0.25">
      <c r="B4" s="143">
        <v>44319</v>
      </c>
      <c r="C4" s="106">
        <f>IF(ISBLANK(B4),"",_xlfn.ISOWEEKNUM(B4))</f>
        <v>18</v>
      </c>
      <c r="D4" s="21" t="s">
        <v>63</v>
      </c>
      <c r="E4" s="170">
        <v>0.37152777777777773</v>
      </c>
      <c r="F4" s="168">
        <v>0.3888888888888889</v>
      </c>
      <c r="G4" s="104">
        <f>F4-E4</f>
        <v>1.736111111111116E-2</v>
      </c>
      <c r="H4" s="204" t="s">
        <v>101</v>
      </c>
    </row>
    <row r="5" spans="2:8" ht="45" x14ac:dyDescent="0.25">
      <c r="B5" s="143">
        <v>44319</v>
      </c>
      <c r="C5" s="106">
        <f t="shared" ref="C5:C151" si="0">IF(ISBLANK(B5),"",_xlfn.ISOWEEKNUM(B5))</f>
        <v>18</v>
      </c>
      <c r="D5" s="21" t="s">
        <v>62</v>
      </c>
      <c r="E5" s="169">
        <v>0.3888888888888889</v>
      </c>
      <c r="F5" s="168">
        <v>0.39930555555555558</v>
      </c>
      <c r="G5" s="104">
        <f t="shared" ref="G5:G151" si="1">F5-E5</f>
        <v>1.0416666666666685E-2</v>
      </c>
      <c r="H5" s="204" t="s">
        <v>102</v>
      </c>
    </row>
    <row r="6" spans="2:8" ht="30" x14ac:dyDescent="0.25">
      <c r="B6" s="143">
        <v>44319</v>
      </c>
      <c r="C6" s="106">
        <f t="shared" si="0"/>
        <v>18</v>
      </c>
      <c r="D6" s="21" t="s">
        <v>94</v>
      </c>
      <c r="E6" s="168">
        <v>0.41319444444444442</v>
      </c>
      <c r="F6" s="168">
        <v>0.4548611111111111</v>
      </c>
      <c r="G6" s="104">
        <f t="shared" si="1"/>
        <v>4.1666666666666685E-2</v>
      </c>
      <c r="H6" s="204" t="s">
        <v>104</v>
      </c>
    </row>
    <row r="7" spans="2:8" x14ac:dyDescent="0.25">
      <c r="B7" s="143">
        <v>44319</v>
      </c>
      <c r="C7" s="106">
        <f t="shared" si="0"/>
        <v>18</v>
      </c>
      <c r="D7" s="21" t="s">
        <v>49</v>
      </c>
      <c r="E7" s="168">
        <v>0.4548611111111111</v>
      </c>
      <c r="F7" s="168">
        <v>0.45833333333333331</v>
      </c>
      <c r="G7" s="104">
        <f t="shared" si="1"/>
        <v>3.4722222222222099E-3</v>
      </c>
      <c r="H7" s="204" t="s">
        <v>105</v>
      </c>
    </row>
    <row r="8" spans="2:8" x14ac:dyDescent="0.25">
      <c r="B8" s="143">
        <v>44319</v>
      </c>
      <c r="C8" s="106">
        <f t="shared" si="0"/>
        <v>18</v>
      </c>
      <c r="D8" s="21" t="s">
        <v>52</v>
      </c>
      <c r="E8" s="168">
        <v>0.45833333333333331</v>
      </c>
      <c r="F8" s="168">
        <v>0.48958333333333331</v>
      </c>
      <c r="G8" s="104">
        <f t="shared" si="1"/>
        <v>3.125E-2</v>
      </c>
      <c r="H8" s="204" t="s">
        <v>106</v>
      </c>
    </row>
    <row r="9" spans="2:8" ht="45" x14ac:dyDescent="0.25">
      <c r="B9" s="143">
        <v>44319</v>
      </c>
      <c r="C9" s="106">
        <f t="shared" si="0"/>
        <v>18</v>
      </c>
      <c r="D9" s="21" t="s">
        <v>74</v>
      </c>
      <c r="E9" s="168">
        <v>0.48958333333333331</v>
      </c>
      <c r="F9" s="168">
        <v>0.51041666666666663</v>
      </c>
      <c r="G9" s="104">
        <f t="shared" si="1"/>
        <v>2.0833333333333315E-2</v>
      </c>
      <c r="H9" s="204" t="s">
        <v>109</v>
      </c>
    </row>
    <row r="10" spans="2:8" ht="45" x14ac:dyDescent="0.25">
      <c r="B10" s="143">
        <v>44319</v>
      </c>
      <c r="C10" s="106">
        <f t="shared" si="0"/>
        <v>18</v>
      </c>
      <c r="D10" s="21" t="s">
        <v>98</v>
      </c>
      <c r="E10" s="168">
        <v>0.5625</v>
      </c>
      <c r="F10" s="168">
        <v>0.57986111111111105</v>
      </c>
      <c r="G10" s="104">
        <f t="shared" si="1"/>
        <v>1.7361111111111049E-2</v>
      </c>
      <c r="H10" s="204" t="s">
        <v>110</v>
      </c>
    </row>
    <row r="11" spans="2:8" x14ac:dyDescent="0.25">
      <c r="B11" s="143">
        <v>44319</v>
      </c>
      <c r="C11" s="106">
        <f t="shared" si="0"/>
        <v>18</v>
      </c>
      <c r="D11" s="21" t="s">
        <v>77</v>
      </c>
      <c r="E11" s="168">
        <v>0.57986111111111105</v>
      </c>
      <c r="F11" s="168">
        <v>0.59722222222222221</v>
      </c>
      <c r="G11" s="104">
        <f t="shared" si="1"/>
        <v>1.736111111111116E-2</v>
      </c>
      <c r="H11" s="204" t="s">
        <v>111</v>
      </c>
    </row>
    <row r="12" spans="2:8" ht="30" x14ac:dyDescent="0.25">
      <c r="B12" s="143">
        <v>44319</v>
      </c>
      <c r="C12" s="106">
        <f t="shared" si="0"/>
        <v>18</v>
      </c>
      <c r="D12" s="21" t="s">
        <v>95</v>
      </c>
      <c r="E12" s="168">
        <v>0.59722222222222221</v>
      </c>
      <c r="F12" s="168">
        <v>0.61111111111111105</v>
      </c>
      <c r="G12" s="104">
        <f t="shared" si="1"/>
        <v>1.388888888888884E-2</v>
      </c>
      <c r="H12" s="204" t="s">
        <v>112</v>
      </c>
    </row>
    <row r="13" spans="2:8" ht="30" x14ac:dyDescent="0.25">
      <c r="B13" s="143">
        <v>44319</v>
      </c>
      <c r="C13" s="106">
        <f t="shared" si="0"/>
        <v>18</v>
      </c>
      <c r="D13" s="21" t="s">
        <v>98</v>
      </c>
      <c r="E13" s="168">
        <v>0.61111111111111105</v>
      </c>
      <c r="F13" s="168">
        <v>0.62847222222222221</v>
      </c>
      <c r="G13" s="104">
        <f t="shared" si="1"/>
        <v>1.736111111111116E-2</v>
      </c>
      <c r="H13" s="204" t="s">
        <v>113</v>
      </c>
    </row>
    <row r="14" spans="2:8" x14ac:dyDescent="0.25">
      <c r="B14" s="143">
        <v>44319</v>
      </c>
      <c r="C14" s="106">
        <f t="shared" si="0"/>
        <v>18</v>
      </c>
      <c r="D14" s="21" t="s">
        <v>53</v>
      </c>
      <c r="E14" s="168">
        <v>0.64236111111111105</v>
      </c>
      <c r="F14" s="168">
        <v>0.65972222222222221</v>
      </c>
      <c r="G14" s="104">
        <f t="shared" si="1"/>
        <v>1.736111111111116E-2</v>
      </c>
      <c r="H14" s="204" t="s">
        <v>114</v>
      </c>
    </row>
    <row r="15" spans="2:8" ht="30" x14ac:dyDescent="0.25">
      <c r="B15" s="143">
        <v>44319</v>
      </c>
      <c r="C15" s="106">
        <f t="shared" si="0"/>
        <v>18</v>
      </c>
      <c r="D15" s="21" t="s">
        <v>98</v>
      </c>
      <c r="E15" s="168">
        <v>0.65972222222222221</v>
      </c>
      <c r="F15" s="168">
        <v>0.67708333333333337</v>
      </c>
      <c r="G15" s="104">
        <f t="shared" si="1"/>
        <v>1.736111111111116E-2</v>
      </c>
      <c r="H15" s="204" t="s">
        <v>115</v>
      </c>
    </row>
    <row r="16" spans="2:8" x14ac:dyDescent="0.25">
      <c r="B16" s="143">
        <v>44319</v>
      </c>
      <c r="C16" s="106">
        <f t="shared" si="0"/>
        <v>18</v>
      </c>
      <c r="D16" s="21" t="s">
        <v>69</v>
      </c>
      <c r="E16" s="168">
        <v>0.67708333333333337</v>
      </c>
      <c r="F16" s="168">
        <v>0.70833333333333337</v>
      </c>
      <c r="G16" s="104">
        <f t="shared" si="1"/>
        <v>3.125E-2</v>
      </c>
      <c r="H16" s="204" t="s">
        <v>118</v>
      </c>
    </row>
    <row r="17" spans="2:8" ht="30" x14ac:dyDescent="0.25">
      <c r="B17" s="143">
        <v>44320</v>
      </c>
      <c r="C17" s="106">
        <f t="shared" si="0"/>
        <v>18</v>
      </c>
      <c r="D17" s="21" t="s">
        <v>49</v>
      </c>
      <c r="E17" s="168">
        <v>0.40972222222222227</v>
      </c>
      <c r="F17" s="168">
        <v>0.41666666666666669</v>
      </c>
      <c r="G17" s="104">
        <f t="shared" si="1"/>
        <v>6.9444444444444198E-3</v>
      </c>
      <c r="H17" s="204" t="s">
        <v>117</v>
      </c>
    </row>
    <row r="18" spans="2:8" ht="30" x14ac:dyDescent="0.25">
      <c r="B18" s="143">
        <v>44320</v>
      </c>
      <c r="C18" s="106">
        <f t="shared" si="0"/>
        <v>18</v>
      </c>
      <c r="D18" s="21" t="s">
        <v>69</v>
      </c>
      <c r="E18" s="168">
        <v>0.41666666666666669</v>
      </c>
      <c r="F18" s="168">
        <v>0.4375</v>
      </c>
      <c r="G18" s="104">
        <f t="shared" si="1"/>
        <v>2.0833333333333315E-2</v>
      </c>
      <c r="H18" s="204" t="s">
        <v>119</v>
      </c>
    </row>
    <row r="19" spans="2:8" ht="45" x14ac:dyDescent="0.25">
      <c r="B19" s="143">
        <v>44320</v>
      </c>
      <c r="C19" s="106">
        <f t="shared" si="0"/>
        <v>18</v>
      </c>
      <c r="D19" s="21" t="s">
        <v>55</v>
      </c>
      <c r="E19" s="168">
        <v>0.4375</v>
      </c>
      <c r="F19" s="168">
        <v>0.47222222222222227</v>
      </c>
      <c r="G19" s="104">
        <f t="shared" si="1"/>
        <v>3.4722222222222265E-2</v>
      </c>
      <c r="H19" s="204" t="s">
        <v>120</v>
      </c>
    </row>
    <row r="20" spans="2:8" ht="31.5" customHeight="1" x14ac:dyDescent="0.25">
      <c r="B20" s="143">
        <v>44320</v>
      </c>
      <c r="C20" s="106">
        <f t="shared" si="0"/>
        <v>18</v>
      </c>
      <c r="D20" s="21" t="s">
        <v>76</v>
      </c>
      <c r="E20" s="168">
        <v>0.47222222222222227</v>
      </c>
      <c r="F20" s="168">
        <v>0.4861111111111111</v>
      </c>
      <c r="G20" s="104">
        <f t="shared" si="1"/>
        <v>1.388888888888884E-2</v>
      </c>
      <c r="H20" s="204" t="s">
        <v>121</v>
      </c>
    </row>
    <row r="21" spans="2:8" ht="30" x14ac:dyDescent="0.25">
      <c r="B21" s="143">
        <v>44320</v>
      </c>
      <c r="C21" s="106">
        <f t="shared" si="0"/>
        <v>18</v>
      </c>
      <c r="D21" s="21" t="s">
        <v>56</v>
      </c>
      <c r="E21" s="168">
        <v>0.4861111111111111</v>
      </c>
      <c r="F21" s="168">
        <v>0.51041666666666663</v>
      </c>
      <c r="G21" s="104">
        <f t="shared" si="1"/>
        <v>2.4305555555555525E-2</v>
      </c>
      <c r="H21" s="204" t="s">
        <v>122</v>
      </c>
    </row>
    <row r="22" spans="2:8" ht="45" x14ac:dyDescent="0.25">
      <c r="B22" s="143">
        <v>44320</v>
      </c>
      <c r="C22" s="106">
        <f t="shared" si="0"/>
        <v>18</v>
      </c>
      <c r="D22" s="21" t="s">
        <v>56</v>
      </c>
      <c r="E22" s="168">
        <v>0.64236111111111105</v>
      </c>
      <c r="F22" s="168">
        <v>0.67708333333333337</v>
      </c>
      <c r="G22" s="104">
        <f t="shared" si="1"/>
        <v>3.4722222222222321E-2</v>
      </c>
      <c r="H22" s="204" t="s">
        <v>123</v>
      </c>
    </row>
    <row r="23" spans="2:8" ht="45" x14ac:dyDescent="0.25">
      <c r="B23" s="143">
        <v>44320</v>
      </c>
      <c r="C23" s="106">
        <f t="shared" si="0"/>
        <v>18</v>
      </c>
      <c r="D23" s="21" t="s">
        <v>98</v>
      </c>
      <c r="E23" s="168">
        <v>0.67708333333333337</v>
      </c>
      <c r="F23" s="168">
        <v>0.69791666666666663</v>
      </c>
      <c r="G23" s="104">
        <f t="shared" si="1"/>
        <v>2.0833333333333259E-2</v>
      </c>
      <c r="H23" s="204" t="s">
        <v>124</v>
      </c>
    </row>
    <row r="24" spans="2:8" ht="30" x14ac:dyDescent="0.25">
      <c r="B24" s="143">
        <v>44320</v>
      </c>
      <c r="C24" s="106">
        <f t="shared" si="0"/>
        <v>18</v>
      </c>
      <c r="D24" s="21" t="s">
        <v>100</v>
      </c>
      <c r="E24" s="168">
        <v>0.69791666666666663</v>
      </c>
      <c r="F24" s="168">
        <v>0.70486111111111116</v>
      </c>
      <c r="G24" s="104">
        <f t="shared" si="1"/>
        <v>6.9444444444445308E-3</v>
      </c>
      <c r="H24" s="204" t="s">
        <v>126</v>
      </c>
    </row>
    <row r="25" spans="2:8" ht="45" x14ac:dyDescent="0.25">
      <c r="B25" s="143">
        <v>44321</v>
      </c>
      <c r="C25" s="106">
        <f t="shared" si="0"/>
        <v>18</v>
      </c>
      <c r="D25" s="21" t="s">
        <v>56</v>
      </c>
      <c r="E25" s="168">
        <v>0.35069444444444442</v>
      </c>
      <c r="F25" s="168">
        <v>0.3923611111111111</v>
      </c>
      <c r="G25" s="104">
        <f t="shared" si="1"/>
        <v>4.1666666666666685E-2</v>
      </c>
      <c r="H25" s="204" t="s">
        <v>127</v>
      </c>
    </row>
    <row r="26" spans="2:8" ht="30" x14ac:dyDescent="0.25">
      <c r="B26" s="143">
        <v>44321</v>
      </c>
      <c r="C26" s="106">
        <f t="shared" si="0"/>
        <v>18</v>
      </c>
      <c r="D26" s="21" t="s">
        <v>107</v>
      </c>
      <c r="E26" s="168">
        <v>0.3923611111111111</v>
      </c>
      <c r="F26" s="168">
        <v>0.39930555555555558</v>
      </c>
      <c r="G26" s="104">
        <f t="shared" si="1"/>
        <v>6.9444444444444753E-3</v>
      </c>
      <c r="H26" s="204" t="s">
        <v>128</v>
      </c>
    </row>
    <row r="27" spans="2:8" ht="30" x14ac:dyDescent="0.25">
      <c r="B27" s="143">
        <v>44321</v>
      </c>
      <c r="C27" s="106">
        <f t="shared" si="0"/>
        <v>18</v>
      </c>
      <c r="D27" s="21" t="s">
        <v>107</v>
      </c>
      <c r="E27" s="168">
        <v>0.40972222222222227</v>
      </c>
      <c r="F27" s="168">
        <v>0.4236111111111111</v>
      </c>
      <c r="G27" s="104">
        <f t="shared" si="1"/>
        <v>1.388888888888884E-2</v>
      </c>
      <c r="H27" s="204" t="s">
        <v>130</v>
      </c>
    </row>
    <row r="28" spans="2:8" ht="75" x14ac:dyDescent="0.25">
      <c r="B28" s="143">
        <v>44321</v>
      </c>
      <c r="C28" s="106">
        <f t="shared" si="0"/>
        <v>18</v>
      </c>
      <c r="D28" s="21" t="s">
        <v>62</v>
      </c>
      <c r="E28" s="168">
        <v>0.4236111111111111</v>
      </c>
      <c r="F28" s="168">
        <v>0.43055555555555558</v>
      </c>
      <c r="G28" s="104">
        <f t="shared" si="1"/>
        <v>6.9444444444444753E-3</v>
      </c>
      <c r="H28" s="204" t="s">
        <v>129</v>
      </c>
    </row>
    <row r="29" spans="2:8" ht="45" x14ac:dyDescent="0.25">
      <c r="B29" s="143">
        <v>44321</v>
      </c>
      <c r="C29" s="106">
        <f t="shared" si="0"/>
        <v>18</v>
      </c>
      <c r="D29" s="21" t="s">
        <v>51</v>
      </c>
      <c r="E29" s="168">
        <v>0.43402777777777773</v>
      </c>
      <c r="F29" s="168">
        <v>0.4513888888888889</v>
      </c>
      <c r="G29" s="104">
        <f t="shared" si="1"/>
        <v>1.736111111111116E-2</v>
      </c>
      <c r="H29" s="204" t="s">
        <v>132</v>
      </c>
    </row>
    <row r="30" spans="2:8" ht="30" x14ac:dyDescent="0.25">
      <c r="B30" s="143">
        <v>44321</v>
      </c>
      <c r="C30" s="106">
        <f t="shared" si="0"/>
        <v>18</v>
      </c>
      <c r="D30" s="21" t="s">
        <v>55</v>
      </c>
      <c r="E30" s="168">
        <v>0.4548611111111111</v>
      </c>
      <c r="F30" s="168">
        <v>0.47222222222222227</v>
      </c>
      <c r="G30" s="104">
        <f t="shared" si="1"/>
        <v>1.736111111111116E-2</v>
      </c>
      <c r="H30" s="204" t="s">
        <v>134</v>
      </c>
    </row>
    <row r="31" spans="2:8" ht="30" x14ac:dyDescent="0.25">
      <c r="B31" s="143">
        <v>44321</v>
      </c>
      <c r="C31" s="106">
        <f t="shared" si="0"/>
        <v>18</v>
      </c>
      <c r="D31" s="21" t="s">
        <v>98</v>
      </c>
      <c r="E31" s="168">
        <v>0.47222222222222227</v>
      </c>
      <c r="F31" s="168">
        <v>0.47916666666666669</v>
      </c>
      <c r="G31" s="104">
        <f t="shared" si="1"/>
        <v>6.9444444444444198E-3</v>
      </c>
      <c r="H31" s="204" t="s">
        <v>135</v>
      </c>
    </row>
    <row r="32" spans="2:8" ht="45" x14ac:dyDescent="0.25">
      <c r="B32" s="143">
        <v>44321</v>
      </c>
      <c r="C32" s="106">
        <f t="shared" si="0"/>
        <v>18</v>
      </c>
      <c r="D32" s="21" t="s">
        <v>58</v>
      </c>
      <c r="E32" s="168">
        <v>0.4826388888888889</v>
      </c>
      <c r="F32" s="168">
        <v>0.50347222222222221</v>
      </c>
      <c r="G32" s="104">
        <f t="shared" si="1"/>
        <v>2.0833333333333315E-2</v>
      </c>
      <c r="H32" s="204" t="s">
        <v>136</v>
      </c>
    </row>
    <row r="33" spans="2:8" ht="45" x14ac:dyDescent="0.25">
      <c r="B33" s="143">
        <v>44321</v>
      </c>
      <c r="C33" s="106">
        <f t="shared" si="0"/>
        <v>18</v>
      </c>
      <c r="D33" s="21" t="s">
        <v>58</v>
      </c>
      <c r="E33" s="168">
        <v>0.56944444444444442</v>
      </c>
      <c r="F33" s="168">
        <v>0.57986111111111105</v>
      </c>
      <c r="G33" s="104">
        <f t="shared" si="1"/>
        <v>1.041666666666663E-2</v>
      </c>
      <c r="H33" s="204" t="s">
        <v>137</v>
      </c>
    </row>
    <row r="34" spans="2:8" ht="45" x14ac:dyDescent="0.25">
      <c r="B34" s="143">
        <v>44321</v>
      </c>
      <c r="C34" s="106">
        <f t="shared" si="0"/>
        <v>18</v>
      </c>
      <c r="D34" s="21" t="s">
        <v>54</v>
      </c>
      <c r="E34" s="168">
        <v>0.59375</v>
      </c>
      <c r="F34" s="168">
        <v>0.62847222222222221</v>
      </c>
      <c r="G34" s="104">
        <f t="shared" si="1"/>
        <v>3.472222222222221E-2</v>
      </c>
      <c r="H34" s="204" t="s">
        <v>139</v>
      </c>
    </row>
    <row r="35" spans="2:8" ht="30" x14ac:dyDescent="0.25">
      <c r="B35" s="143">
        <v>44321</v>
      </c>
      <c r="C35" s="106">
        <f t="shared" si="0"/>
        <v>18</v>
      </c>
      <c r="D35" s="21" t="s">
        <v>55</v>
      </c>
      <c r="E35" s="168">
        <v>0.63888888888888895</v>
      </c>
      <c r="F35" s="168">
        <v>0.64236111111111105</v>
      </c>
      <c r="G35" s="104">
        <f t="shared" si="1"/>
        <v>3.4722222222220989E-3</v>
      </c>
      <c r="H35" s="204" t="s">
        <v>140</v>
      </c>
    </row>
    <row r="36" spans="2:8" ht="30" x14ac:dyDescent="0.25">
      <c r="B36" s="143">
        <v>44321</v>
      </c>
      <c r="C36" s="106">
        <f t="shared" si="0"/>
        <v>18</v>
      </c>
      <c r="D36" s="21" t="s">
        <v>61</v>
      </c>
      <c r="E36" s="168">
        <v>0.64236111111111105</v>
      </c>
      <c r="F36" s="168">
        <v>0.66666666666666663</v>
      </c>
      <c r="G36" s="104">
        <f t="shared" si="1"/>
        <v>2.430555555555558E-2</v>
      </c>
      <c r="H36" s="204" t="s">
        <v>141</v>
      </c>
    </row>
    <row r="37" spans="2:8" ht="30" x14ac:dyDescent="0.25">
      <c r="B37" s="143">
        <v>44321</v>
      </c>
      <c r="C37" s="106">
        <f t="shared" si="0"/>
        <v>18</v>
      </c>
      <c r="D37" s="21" t="s">
        <v>98</v>
      </c>
      <c r="E37" s="168">
        <v>0.68402777777777779</v>
      </c>
      <c r="F37" s="168">
        <v>0.69791666666666663</v>
      </c>
      <c r="G37" s="104">
        <f t="shared" si="1"/>
        <v>1.388888888888884E-2</v>
      </c>
      <c r="H37" s="204" t="s">
        <v>143</v>
      </c>
    </row>
    <row r="38" spans="2:8" ht="30" x14ac:dyDescent="0.25">
      <c r="B38" s="143">
        <v>44322</v>
      </c>
      <c r="C38" s="106">
        <f t="shared" si="0"/>
        <v>18</v>
      </c>
      <c r="D38" s="21" t="s">
        <v>98</v>
      </c>
      <c r="E38" s="168">
        <v>0.33333333333333331</v>
      </c>
      <c r="F38" s="168">
        <v>0.34375</v>
      </c>
      <c r="G38" s="104">
        <f t="shared" si="1"/>
        <v>1.0416666666666685E-2</v>
      </c>
      <c r="H38" s="204" t="s">
        <v>144</v>
      </c>
    </row>
    <row r="39" spans="2:8" ht="30" x14ac:dyDescent="0.25">
      <c r="B39" s="143">
        <v>44322</v>
      </c>
      <c r="C39" s="106">
        <f t="shared" si="0"/>
        <v>18</v>
      </c>
      <c r="D39" s="21" t="s">
        <v>59</v>
      </c>
      <c r="E39" s="168">
        <v>0.34375</v>
      </c>
      <c r="F39" s="168">
        <v>0.35416666666666669</v>
      </c>
      <c r="G39" s="104">
        <f t="shared" si="1"/>
        <v>1.0416666666666685E-2</v>
      </c>
      <c r="H39" s="204" t="s">
        <v>145</v>
      </c>
    </row>
    <row r="40" spans="2:8" x14ac:dyDescent="0.25">
      <c r="B40" s="143">
        <v>44322</v>
      </c>
      <c r="C40" s="106">
        <f t="shared" si="0"/>
        <v>18</v>
      </c>
      <c r="D40" s="21" t="s">
        <v>59</v>
      </c>
      <c r="E40" s="168">
        <v>0.35416666666666669</v>
      </c>
      <c r="F40" s="168">
        <v>0.38541666666666669</v>
      </c>
      <c r="G40" s="104">
        <f t="shared" si="1"/>
        <v>3.125E-2</v>
      </c>
      <c r="H40" s="204" t="s">
        <v>146</v>
      </c>
    </row>
    <row r="41" spans="2:8" ht="45" customHeight="1" x14ac:dyDescent="0.25">
      <c r="B41" s="143">
        <v>44322</v>
      </c>
      <c r="C41" s="106">
        <f t="shared" si="0"/>
        <v>18</v>
      </c>
      <c r="D41" s="21" t="s">
        <v>64</v>
      </c>
      <c r="E41" s="168">
        <v>0.38541666666666669</v>
      </c>
      <c r="F41" s="168">
        <v>0.3923611111111111</v>
      </c>
      <c r="G41" s="104">
        <f t="shared" si="1"/>
        <v>6.9444444444444198E-3</v>
      </c>
      <c r="H41" s="204" t="s">
        <v>148</v>
      </c>
    </row>
    <row r="42" spans="2:8" x14ac:dyDescent="0.25">
      <c r="B42" s="143">
        <v>44322</v>
      </c>
      <c r="C42" s="106">
        <f t="shared" si="0"/>
        <v>18</v>
      </c>
      <c r="D42" s="21" t="s">
        <v>59</v>
      </c>
      <c r="E42" s="168">
        <v>0.3923611111111111</v>
      </c>
      <c r="F42" s="168">
        <v>0.39930555555555558</v>
      </c>
      <c r="G42" s="104">
        <f t="shared" si="1"/>
        <v>6.9444444444444753E-3</v>
      </c>
      <c r="H42" s="204" t="s">
        <v>149</v>
      </c>
    </row>
    <row r="43" spans="2:8" x14ac:dyDescent="0.25">
      <c r="B43" s="143">
        <v>44322</v>
      </c>
      <c r="C43" s="106">
        <f t="shared" si="0"/>
        <v>18</v>
      </c>
      <c r="D43" s="21" t="s">
        <v>59</v>
      </c>
      <c r="E43" s="198">
        <v>0.40972222222222227</v>
      </c>
      <c r="F43" s="168">
        <v>0.44444444444444442</v>
      </c>
      <c r="G43" s="104">
        <f t="shared" si="1"/>
        <v>3.4722222222222154E-2</v>
      </c>
      <c r="H43" s="204" t="s">
        <v>150</v>
      </c>
    </row>
    <row r="44" spans="2:8" ht="45" x14ac:dyDescent="0.25">
      <c r="B44" s="143">
        <v>44322</v>
      </c>
      <c r="C44" s="106">
        <f t="shared" si="0"/>
        <v>18</v>
      </c>
      <c r="D44" s="21" t="s">
        <v>57</v>
      </c>
      <c r="E44" s="168">
        <v>0.44791666666666669</v>
      </c>
      <c r="F44" s="168">
        <v>0.46180555555555558</v>
      </c>
      <c r="G44" s="104">
        <f t="shared" si="1"/>
        <v>1.3888888888888895E-2</v>
      </c>
      <c r="H44" s="204" t="s">
        <v>151</v>
      </c>
    </row>
    <row r="45" spans="2:8" x14ac:dyDescent="0.25">
      <c r="B45" s="143">
        <v>44322</v>
      </c>
      <c r="C45" s="106">
        <f t="shared" si="0"/>
        <v>18</v>
      </c>
      <c r="D45" s="21" t="s">
        <v>60</v>
      </c>
      <c r="E45" s="168">
        <v>0.46527777777777773</v>
      </c>
      <c r="F45" s="168">
        <v>0.49305555555555558</v>
      </c>
      <c r="G45" s="104">
        <f t="shared" si="1"/>
        <v>2.7777777777777846E-2</v>
      </c>
      <c r="H45" s="204" t="s">
        <v>152</v>
      </c>
    </row>
    <row r="46" spans="2:8" ht="30" x14ac:dyDescent="0.25">
      <c r="B46" s="143">
        <v>44322</v>
      </c>
      <c r="C46" s="106">
        <f t="shared" si="0"/>
        <v>18</v>
      </c>
      <c r="D46" s="21" t="s">
        <v>98</v>
      </c>
      <c r="E46" s="168">
        <v>0.49305555555555558</v>
      </c>
      <c r="F46" s="168">
        <v>0.5</v>
      </c>
      <c r="G46" s="104">
        <f t="shared" si="1"/>
        <v>6.9444444444444198E-3</v>
      </c>
      <c r="H46" s="204" t="s">
        <v>153</v>
      </c>
    </row>
    <row r="47" spans="2:8" ht="30" customHeight="1" x14ac:dyDescent="0.25">
      <c r="B47" s="143">
        <v>44322</v>
      </c>
      <c r="C47" s="106">
        <f t="shared" si="0"/>
        <v>18</v>
      </c>
      <c r="D47" s="21" t="s">
        <v>142</v>
      </c>
      <c r="E47" s="168">
        <v>0.5625</v>
      </c>
      <c r="F47" s="168">
        <v>0.58333333333333337</v>
      </c>
      <c r="G47" s="104">
        <f t="shared" si="1"/>
        <v>2.083333333333337E-2</v>
      </c>
      <c r="H47" s="204" t="s">
        <v>154</v>
      </c>
    </row>
    <row r="48" spans="2:8" ht="30" x14ac:dyDescent="0.25">
      <c r="B48" s="143">
        <v>44322</v>
      </c>
      <c r="C48" s="106">
        <f t="shared" si="0"/>
        <v>18</v>
      </c>
      <c r="D48" s="21" t="s">
        <v>64</v>
      </c>
      <c r="E48" s="168">
        <v>0.58333333333333337</v>
      </c>
      <c r="F48" s="168">
        <v>0.58680555555555558</v>
      </c>
      <c r="G48" s="104">
        <f t="shared" si="1"/>
        <v>3.4722222222222099E-3</v>
      </c>
      <c r="H48" s="204" t="s">
        <v>155</v>
      </c>
    </row>
    <row r="49" spans="2:8" x14ac:dyDescent="0.25">
      <c r="B49" s="143">
        <v>44322</v>
      </c>
      <c r="C49" s="106">
        <f t="shared" si="0"/>
        <v>18</v>
      </c>
      <c r="D49" s="21" t="s">
        <v>60</v>
      </c>
      <c r="E49" s="168">
        <v>0.58680555555555558</v>
      </c>
      <c r="F49" s="168">
        <v>0.59027777777777779</v>
      </c>
      <c r="G49" s="104">
        <f t="shared" si="1"/>
        <v>3.4722222222222099E-3</v>
      </c>
      <c r="H49" s="204" t="s">
        <v>156</v>
      </c>
    </row>
    <row r="50" spans="2:8" ht="30" x14ac:dyDescent="0.25">
      <c r="B50" s="143">
        <v>44322</v>
      </c>
      <c r="C50" s="106">
        <f t="shared" si="0"/>
        <v>18</v>
      </c>
      <c r="D50" s="21" t="s">
        <v>98</v>
      </c>
      <c r="E50" s="168">
        <v>0.60416666666666663</v>
      </c>
      <c r="F50" s="168">
        <v>0.62847222222222221</v>
      </c>
      <c r="G50" s="104">
        <f t="shared" si="1"/>
        <v>2.430555555555558E-2</v>
      </c>
      <c r="H50" s="204" t="s">
        <v>157</v>
      </c>
    </row>
    <row r="51" spans="2:8" x14ac:dyDescent="0.25">
      <c r="B51" s="143">
        <v>44322</v>
      </c>
      <c r="C51" s="106">
        <f t="shared" si="0"/>
        <v>18</v>
      </c>
      <c r="D51" s="21" t="s">
        <v>97</v>
      </c>
      <c r="E51" s="168">
        <v>0.63888888888888895</v>
      </c>
      <c r="F51" s="168">
        <v>0.65625</v>
      </c>
      <c r="G51" s="104">
        <f t="shared" si="1"/>
        <v>1.7361111111111049E-2</v>
      </c>
      <c r="H51" s="204" t="s">
        <v>159</v>
      </c>
    </row>
    <row r="52" spans="2:8" ht="30" x14ac:dyDescent="0.25">
      <c r="B52" s="143">
        <v>44322</v>
      </c>
      <c r="C52" s="106">
        <f t="shared" si="0"/>
        <v>18</v>
      </c>
      <c r="D52" s="21" t="s">
        <v>100</v>
      </c>
      <c r="E52" s="168">
        <v>0.65625</v>
      </c>
      <c r="F52" s="168">
        <v>0.66319444444444442</v>
      </c>
      <c r="G52" s="104">
        <f t="shared" si="1"/>
        <v>6.9444444444444198E-3</v>
      </c>
      <c r="H52" s="204" t="s">
        <v>126</v>
      </c>
    </row>
    <row r="53" spans="2:8" x14ac:dyDescent="0.25">
      <c r="B53" s="143">
        <v>44326</v>
      </c>
      <c r="C53" s="106">
        <f t="shared" si="0"/>
        <v>19</v>
      </c>
      <c r="D53" s="21" t="s">
        <v>72</v>
      </c>
      <c r="E53" s="168">
        <v>0.36805555555555558</v>
      </c>
      <c r="F53" s="168">
        <v>0.38541666666666669</v>
      </c>
      <c r="G53" s="104">
        <f t="shared" si="1"/>
        <v>1.7361111111111105E-2</v>
      </c>
      <c r="H53" s="204" t="s">
        <v>162</v>
      </c>
    </row>
    <row r="54" spans="2:8" x14ac:dyDescent="0.25">
      <c r="B54" s="143">
        <v>44326</v>
      </c>
      <c r="C54" s="106">
        <f t="shared" si="0"/>
        <v>19</v>
      </c>
      <c r="D54" s="21" t="s">
        <v>72</v>
      </c>
      <c r="E54" s="168">
        <v>0.38541666666666669</v>
      </c>
      <c r="F54" s="168">
        <v>0.39930555555555558</v>
      </c>
      <c r="G54" s="104">
        <f t="shared" si="1"/>
        <v>1.3888888888888895E-2</v>
      </c>
      <c r="H54" s="204" t="s">
        <v>163</v>
      </c>
    </row>
    <row r="55" spans="2:8" x14ac:dyDescent="0.25">
      <c r="B55" s="143">
        <v>44326</v>
      </c>
      <c r="C55" s="106">
        <f t="shared" si="0"/>
        <v>19</v>
      </c>
      <c r="D55" s="21" t="s">
        <v>72</v>
      </c>
      <c r="E55" s="168">
        <v>0.40972222222222227</v>
      </c>
      <c r="F55" s="168">
        <v>0.43055555555555558</v>
      </c>
      <c r="G55" s="104">
        <f t="shared" si="1"/>
        <v>2.0833333333333315E-2</v>
      </c>
      <c r="H55" s="204" t="s">
        <v>164</v>
      </c>
    </row>
    <row r="56" spans="2:8" ht="30" x14ac:dyDescent="0.25">
      <c r="B56" s="143">
        <v>44326</v>
      </c>
      <c r="C56" s="106">
        <f t="shared" si="0"/>
        <v>19</v>
      </c>
      <c r="D56" s="21" t="s">
        <v>98</v>
      </c>
      <c r="E56" s="168">
        <v>0.43055555555555558</v>
      </c>
      <c r="F56" s="168">
        <v>0.4375</v>
      </c>
      <c r="G56" s="104">
        <f t="shared" si="1"/>
        <v>6.9444444444444198E-3</v>
      </c>
      <c r="H56" s="204" t="s">
        <v>165</v>
      </c>
    </row>
    <row r="57" spans="2:8" ht="30" x14ac:dyDescent="0.25">
      <c r="B57" s="143">
        <v>44326</v>
      </c>
      <c r="C57" s="106">
        <f t="shared" si="0"/>
        <v>19</v>
      </c>
      <c r="D57" s="21" t="s">
        <v>73</v>
      </c>
      <c r="E57" s="168">
        <v>0.4375</v>
      </c>
      <c r="F57" s="168">
        <v>0.48958333333333331</v>
      </c>
      <c r="G57" s="104">
        <f t="shared" si="1"/>
        <v>5.2083333333333315E-2</v>
      </c>
      <c r="H57" s="204" t="s">
        <v>166</v>
      </c>
    </row>
    <row r="58" spans="2:8" ht="30" x14ac:dyDescent="0.25">
      <c r="B58" s="143">
        <v>44326</v>
      </c>
      <c r="C58" s="106">
        <f t="shared" si="0"/>
        <v>19</v>
      </c>
      <c r="D58" s="21" t="s">
        <v>64</v>
      </c>
      <c r="E58" s="168">
        <v>0.48958333333333331</v>
      </c>
      <c r="F58" s="168">
        <v>0.49305555555555558</v>
      </c>
      <c r="G58" s="104">
        <f t="shared" si="1"/>
        <v>3.4722222222222654E-3</v>
      </c>
      <c r="H58" s="204" t="s">
        <v>167</v>
      </c>
    </row>
    <row r="59" spans="2:8" ht="45" x14ac:dyDescent="0.25">
      <c r="B59" s="143">
        <v>44326</v>
      </c>
      <c r="C59" s="106">
        <f t="shared" si="0"/>
        <v>19</v>
      </c>
      <c r="D59" s="21" t="s">
        <v>73</v>
      </c>
      <c r="E59" s="168">
        <v>0.49305555555555558</v>
      </c>
      <c r="F59" s="168">
        <v>0.50694444444444442</v>
      </c>
      <c r="G59" s="104">
        <f t="shared" si="1"/>
        <v>1.388888888888884E-2</v>
      </c>
      <c r="H59" s="204" t="s">
        <v>168</v>
      </c>
    </row>
    <row r="60" spans="2:8" ht="30" x14ac:dyDescent="0.25">
      <c r="B60" s="143">
        <v>44326</v>
      </c>
      <c r="C60" s="106">
        <f t="shared" si="0"/>
        <v>19</v>
      </c>
      <c r="D60" s="21" t="s">
        <v>98</v>
      </c>
      <c r="E60" s="168">
        <v>0.50694444444444442</v>
      </c>
      <c r="F60" s="168">
        <v>0.51041666666666663</v>
      </c>
      <c r="G60" s="104">
        <f t="shared" si="1"/>
        <v>3.4722222222222099E-3</v>
      </c>
      <c r="H60" s="204" t="s">
        <v>169</v>
      </c>
    </row>
    <row r="61" spans="2:8" ht="45" x14ac:dyDescent="0.25">
      <c r="B61" s="143">
        <v>44326</v>
      </c>
      <c r="C61" s="106">
        <f t="shared" si="0"/>
        <v>19</v>
      </c>
      <c r="D61" s="21" t="s">
        <v>73</v>
      </c>
      <c r="E61" s="168">
        <v>0.5625</v>
      </c>
      <c r="F61" s="168">
        <v>0.60416666666666663</v>
      </c>
      <c r="G61" s="104">
        <f t="shared" si="1"/>
        <v>4.166666666666663E-2</v>
      </c>
      <c r="H61" s="204" t="s">
        <v>170</v>
      </c>
    </row>
    <row r="62" spans="2:8" ht="60" x14ac:dyDescent="0.25">
      <c r="B62" s="143">
        <v>44326</v>
      </c>
      <c r="C62" s="106">
        <f t="shared" si="0"/>
        <v>19</v>
      </c>
      <c r="D62" s="21" t="s">
        <v>78</v>
      </c>
      <c r="E62" s="168">
        <v>0.60416666666666663</v>
      </c>
      <c r="F62" s="168">
        <v>0.61805555555555558</v>
      </c>
      <c r="G62" s="104">
        <f t="shared" si="1"/>
        <v>1.3888888888888951E-2</v>
      </c>
      <c r="H62" s="204" t="s">
        <v>171</v>
      </c>
    </row>
    <row r="63" spans="2:8" ht="30" x14ac:dyDescent="0.25">
      <c r="B63" s="143">
        <v>44326</v>
      </c>
      <c r="C63" s="106">
        <f t="shared" si="0"/>
        <v>19</v>
      </c>
      <c r="D63" s="21" t="s">
        <v>98</v>
      </c>
      <c r="E63" s="168">
        <v>0.61805555555555558</v>
      </c>
      <c r="F63" s="168">
        <v>0.63194444444444442</v>
      </c>
      <c r="G63" s="104">
        <f t="shared" si="1"/>
        <v>1.388888888888884E-2</v>
      </c>
      <c r="H63" s="204" t="s">
        <v>172</v>
      </c>
    </row>
    <row r="64" spans="2:8" ht="30" x14ac:dyDescent="0.25">
      <c r="B64" s="143">
        <v>44326</v>
      </c>
      <c r="C64" s="106">
        <f t="shared" si="0"/>
        <v>19</v>
      </c>
      <c r="D64" s="21" t="s">
        <v>79</v>
      </c>
      <c r="E64" s="168">
        <v>0.64930555555555558</v>
      </c>
      <c r="F64" s="168">
        <v>0.66666666666666663</v>
      </c>
      <c r="G64" s="104">
        <f t="shared" si="1"/>
        <v>1.7361111111111049E-2</v>
      </c>
      <c r="H64" s="204" t="s">
        <v>173</v>
      </c>
    </row>
    <row r="65" spans="2:8" ht="30" x14ac:dyDescent="0.25">
      <c r="B65" s="143">
        <v>44326</v>
      </c>
      <c r="C65" s="106">
        <f t="shared" si="0"/>
        <v>19</v>
      </c>
      <c r="D65" s="21" t="s">
        <v>79</v>
      </c>
      <c r="E65" s="168">
        <v>0.67361111111111116</v>
      </c>
      <c r="F65" s="168">
        <v>0.70138888888888884</v>
      </c>
      <c r="G65" s="104">
        <f t="shared" si="1"/>
        <v>2.7777777777777679E-2</v>
      </c>
      <c r="H65" s="204" t="s">
        <v>174</v>
      </c>
    </row>
    <row r="66" spans="2:8" ht="30" x14ac:dyDescent="0.25">
      <c r="B66" s="143">
        <v>44326</v>
      </c>
      <c r="C66" s="106">
        <f t="shared" si="0"/>
        <v>19</v>
      </c>
      <c r="D66" s="21" t="s">
        <v>74</v>
      </c>
      <c r="E66" s="168">
        <v>0.70138888888888884</v>
      </c>
      <c r="F66" s="168">
        <v>0.70486111111111116</v>
      </c>
      <c r="G66" s="104">
        <f t="shared" si="1"/>
        <v>3.4722222222223209E-3</v>
      </c>
      <c r="H66" s="204" t="s">
        <v>175</v>
      </c>
    </row>
    <row r="67" spans="2:8" ht="30" x14ac:dyDescent="0.25">
      <c r="B67" s="143">
        <v>44327</v>
      </c>
      <c r="C67" s="106">
        <f t="shared" si="0"/>
        <v>19</v>
      </c>
      <c r="D67" s="21" t="s">
        <v>78</v>
      </c>
      <c r="E67" s="168">
        <v>0.40972222222222227</v>
      </c>
      <c r="F67" s="168">
        <v>0.41319444444444442</v>
      </c>
      <c r="G67" s="104">
        <f t="shared" si="1"/>
        <v>3.4722222222221544E-3</v>
      </c>
      <c r="H67" s="204" t="s">
        <v>176</v>
      </c>
    </row>
    <row r="68" spans="2:8" ht="45" x14ac:dyDescent="0.25">
      <c r="B68" s="143">
        <v>44327</v>
      </c>
      <c r="C68" s="106">
        <f t="shared" si="0"/>
        <v>19</v>
      </c>
      <c r="D68" s="21" t="s">
        <v>177</v>
      </c>
      <c r="E68" s="168">
        <v>0.41319444444444442</v>
      </c>
      <c r="F68" s="168">
        <v>0.47916666666666669</v>
      </c>
      <c r="G68" s="104">
        <f t="shared" si="1"/>
        <v>6.5972222222222265E-2</v>
      </c>
      <c r="H68" s="204" t="s">
        <v>178</v>
      </c>
    </row>
    <row r="69" spans="2:8" ht="30" x14ac:dyDescent="0.25">
      <c r="B69" s="143">
        <v>44327</v>
      </c>
      <c r="C69" s="106">
        <f t="shared" si="0"/>
        <v>19</v>
      </c>
      <c r="D69" s="21" t="s">
        <v>177</v>
      </c>
      <c r="E69" s="168">
        <v>0.47916666666666669</v>
      </c>
      <c r="F69" s="168">
        <v>0.49652777777777773</v>
      </c>
      <c r="G69" s="104">
        <f t="shared" si="1"/>
        <v>1.7361111111111049E-2</v>
      </c>
      <c r="H69" s="204" t="s">
        <v>179</v>
      </c>
    </row>
    <row r="70" spans="2:8" ht="30" x14ac:dyDescent="0.25">
      <c r="B70" s="143">
        <v>44327</v>
      </c>
      <c r="C70" s="106">
        <f t="shared" si="0"/>
        <v>19</v>
      </c>
      <c r="D70" s="21" t="s">
        <v>80</v>
      </c>
      <c r="E70" s="168">
        <v>0.49652777777777773</v>
      </c>
      <c r="F70" s="168">
        <v>0.51041666666666663</v>
      </c>
      <c r="G70" s="104">
        <f t="shared" si="1"/>
        <v>1.3888888888888895E-2</v>
      </c>
      <c r="H70" s="204" t="s">
        <v>180</v>
      </c>
    </row>
    <row r="71" spans="2:8" ht="30" x14ac:dyDescent="0.25">
      <c r="B71" s="143">
        <v>44327</v>
      </c>
      <c r="C71" s="106">
        <f t="shared" si="0"/>
        <v>19</v>
      </c>
      <c r="D71" s="21" t="s">
        <v>177</v>
      </c>
      <c r="E71" s="168">
        <v>0.63888888888888895</v>
      </c>
      <c r="F71" s="168">
        <v>0.64930555555555558</v>
      </c>
      <c r="G71" s="104">
        <f t="shared" si="1"/>
        <v>1.041666666666663E-2</v>
      </c>
      <c r="H71" s="204" t="s">
        <v>181</v>
      </c>
    </row>
    <row r="72" spans="2:8" ht="45" x14ac:dyDescent="0.25">
      <c r="B72" s="143">
        <v>44327</v>
      </c>
      <c r="C72" s="106">
        <f t="shared" si="0"/>
        <v>19</v>
      </c>
      <c r="D72" s="21" t="s">
        <v>64</v>
      </c>
      <c r="E72" s="168">
        <v>0.64930555555555558</v>
      </c>
      <c r="F72" s="168">
        <v>0.65972222222222221</v>
      </c>
      <c r="G72" s="104">
        <f t="shared" si="1"/>
        <v>1.041666666666663E-2</v>
      </c>
      <c r="H72" s="204" t="s">
        <v>182</v>
      </c>
    </row>
    <row r="73" spans="2:8" ht="60" x14ac:dyDescent="0.25">
      <c r="B73" s="143">
        <v>44327</v>
      </c>
      <c r="C73" s="106">
        <f t="shared" si="0"/>
        <v>19</v>
      </c>
      <c r="D73" s="21" t="s">
        <v>177</v>
      </c>
      <c r="E73" s="168">
        <v>0.65972222222222221</v>
      </c>
      <c r="F73" s="168">
        <v>0.69791666666666663</v>
      </c>
      <c r="G73" s="104">
        <f t="shared" si="1"/>
        <v>3.819444444444442E-2</v>
      </c>
      <c r="H73" s="204" t="s">
        <v>183</v>
      </c>
    </row>
    <row r="74" spans="2:8" ht="30" x14ac:dyDescent="0.25">
      <c r="B74" s="143">
        <v>44327</v>
      </c>
      <c r="C74" s="106">
        <f t="shared" si="0"/>
        <v>19</v>
      </c>
      <c r="D74" s="21" t="s">
        <v>100</v>
      </c>
      <c r="E74" s="168">
        <v>0.69791666666666663</v>
      </c>
      <c r="F74" s="168">
        <v>0.70486111111111116</v>
      </c>
      <c r="G74" s="104">
        <f t="shared" si="1"/>
        <v>6.9444444444445308E-3</v>
      </c>
      <c r="H74" s="204" t="s">
        <v>126</v>
      </c>
    </row>
    <row r="75" spans="2:8" ht="30" x14ac:dyDescent="0.25">
      <c r="B75" s="143">
        <v>44328</v>
      </c>
      <c r="C75" s="106">
        <f t="shared" si="0"/>
        <v>19</v>
      </c>
      <c r="D75" s="21" t="s">
        <v>160</v>
      </c>
      <c r="E75" s="168">
        <v>0.35416666666666669</v>
      </c>
      <c r="F75" s="168">
        <v>0.36458333333333331</v>
      </c>
      <c r="G75" s="104">
        <f t="shared" si="1"/>
        <v>1.041666666666663E-2</v>
      </c>
      <c r="H75" s="204" t="s">
        <v>184</v>
      </c>
    </row>
    <row r="76" spans="2:8" ht="45" x14ac:dyDescent="0.25">
      <c r="B76" s="143">
        <v>44328</v>
      </c>
      <c r="C76" s="106">
        <f t="shared" si="0"/>
        <v>19</v>
      </c>
      <c r="D76" s="21" t="s">
        <v>62</v>
      </c>
      <c r="E76" s="168">
        <v>0.36458333333333331</v>
      </c>
      <c r="F76" s="168">
        <v>0.37152777777777773</v>
      </c>
      <c r="G76" s="104">
        <f t="shared" si="1"/>
        <v>6.9444444444444198E-3</v>
      </c>
      <c r="H76" s="204" t="s">
        <v>185</v>
      </c>
    </row>
    <row r="77" spans="2:8" ht="30" x14ac:dyDescent="0.25">
      <c r="B77" s="143">
        <v>44328</v>
      </c>
      <c r="C77" s="106">
        <f t="shared" si="0"/>
        <v>19</v>
      </c>
      <c r="D77" s="21" t="s">
        <v>177</v>
      </c>
      <c r="E77" s="168">
        <v>0.37152777777777773</v>
      </c>
      <c r="F77" s="168">
        <v>0.38541666666666669</v>
      </c>
      <c r="G77" s="104">
        <f t="shared" si="1"/>
        <v>1.3888888888888951E-2</v>
      </c>
      <c r="H77" s="204" t="s">
        <v>186</v>
      </c>
    </row>
    <row r="78" spans="2:8" ht="30" x14ac:dyDescent="0.25">
      <c r="B78" s="143">
        <v>44328</v>
      </c>
      <c r="C78" s="106">
        <f t="shared" si="0"/>
        <v>19</v>
      </c>
      <c r="D78" s="21" t="s">
        <v>161</v>
      </c>
      <c r="E78" s="168">
        <v>0.3923611111111111</v>
      </c>
      <c r="F78" s="168">
        <v>0.39930555555555558</v>
      </c>
      <c r="G78" s="104">
        <f t="shared" si="1"/>
        <v>6.9444444444444753E-3</v>
      </c>
      <c r="H78" s="204" t="s">
        <v>187</v>
      </c>
    </row>
    <row r="79" spans="2:8" ht="45" x14ac:dyDescent="0.25">
      <c r="B79" s="143">
        <v>44328</v>
      </c>
      <c r="C79" s="106">
        <f t="shared" si="0"/>
        <v>19</v>
      </c>
      <c r="D79" s="21" t="s">
        <v>177</v>
      </c>
      <c r="E79" s="168">
        <v>0.39930555555555558</v>
      </c>
      <c r="F79" s="168">
        <v>0.51041666666666663</v>
      </c>
      <c r="G79" s="104">
        <f t="shared" si="1"/>
        <v>0.11111111111111105</v>
      </c>
      <c r="H79" s="204" t="s">
        <v>188</v>
      </c>
    </row>
    <row r="80" spans="2:8" ht="30" x14ac:dyDescent="0.25">
      <c r="B80" s="143">
        <v>44328</v>
      </c>
      <c r="C80" s="106">
        <f t="shared" si="0"/>
        <v>19</v>
      </c>
      <c r="D80" s="21" t="s">
        <v>177</v>
      </c>
      <c r="E80" s="168">
        <v>0.5625</v>
      </c>
      <c r="F80" s="168">
        <v>0.62847222222222221</v>
      </c>
      <c r="G80" s="104">
        <f t="shared" si="1"/>
        <v>6.597222222222221E-2</v>
      </c>
      <c r="H80" s="204" t="s">
        <v>189</v>
      </c>
    </row>
    <row r="81" spans="2:8" ht="60" x14ac:dyDescent="0.25">
      <c r="B81" s="143">
        <v>44328</v>
      </c>
      <c r="C81" s="106">
        <f t="shared" si="0"/>
        <v>19</v>
      </c>
      <c r="D81" s="21" t="s">
        <v>81</v>
      </c>
      <c r="E81" s="168">
        <v>0.63888888888888895</v>
      </c>
      <c r="F81" s="168">
        <v>0.70486111111111116</v>
      </c>
      <c r="G81" s="104">
        <f t="shared" si="1"/>
        <v>6.597222222222221E-2</v>
      </c>
      <c r="H81" s="204" t="s">
        <v>190</v>
      </c>
    </row>
    <row r="82" spans="2:8" ht="45" x14ac:dyDescent="0.25">
      <c r="B82" s="143">
        <v>44333</v>
      </c>
      <c r="C82" s="106">
        <f t="shared" si="0"/>
        <v>20</v>
      </c>
      <c r="D82" s="21" t="s">
        <v>81</v>
      </c>
      <c r="E82" s="168">
        <v>0.375</v>
      </c>
      <c r="F82" s="168">
        <v>0.40972222222222227</v>
      </c>
      <c r="G82" s="104">
        <f t="shared" si="1"/>
        <v>3.4722222222222265E-2</v>
      </c>
      <c r="H82" s="204" t="s">
        <v>191</v>
      </c>
    </row>
    <row r="83" spans="2:8" ht="75" x14ac:dyDescent="0.25">
      <c r="B83" s="143">
        <v>44333</v>
      </c>
      <c r="C83" s="106">
        <f t="shared" si="0"/>
        <v>20</v>
      </c>
      <c r="D83" s="21" t="s">
        <v>81</v>
      </c>
      <c r="E83" s="168">
        <v>0.4201388888888889</v>
      </c>
      <c r="F83" s="168">
        <v>0.45833333333333331</v>
      </c>
      <c r="G83" s="104">
        <f t="shared" si="1"/>
        <v>3.819444444444442E-2</v>
      </c>
      <c r="H83" s="204" t="s">
        <v>192</v>
      </c>
    </row>
    <row r="84" spans="2:8" ht="30" x14ac:dyDescent="0.25">
      <c r="B84" s="143">
        <v>44333</v>
      </c>
      <c r="C84" s="106">
        <f t="shared" si="0"/>
        <v>20</v>
      </c>
      <c r="D84" s="21" t="s">
        <v>81</v>
      </c>
      <c r="E84" s="168">
        <v>0.45833333333333331</v>
      </c>
      <c r="F84" s="168">
        <v>0.49305555555555558</v>
      </c>
      <c r="G84" s="104">
        <f t="shared" si="1"/>
        <v>3.4722222222222265E-2</v>
      </c>
      <c r="H84" s="204" t="s">
        <v>193</v>
      </c>
    </row>
    <row r="85" spans="2:8" ht="45" x14ac:dyDescent="0.25">
      <c r="B85" s="143">
        <v>44333</v>
      </c>
      <c r="C85" s="106">
        <f t="shared" si="0"/>
        <v>20</v>
      </c>
      <c r="D85" s="21" t="s">
        <v>64</v>
      </c>
      <c r="E85" s="168">
        <v>0.49305555555555558</v>
      </c>
      <c r="F85" s="168">
        <v>0.5</v>
      </c>
      <c r="G85" s="104">
        <f t="shared" si="1"/>
        <v>6.9444444444444198E-3</v>
      </c>
      <c r="H85" s="204" t="s">
        <v>194</v>
      </c>
    </row>
    <row r="86" spans="2:8" ht="60" x14ac:dyDescent="0.25">
      <c r="B86" s="143">
        <v>44333</v>
      </c>
      <c r="C86" s="106">
        <f t="shared" si="0"/>
        <v>20</v>
      </c>
      <c r="D86" s="21" t="s">
        <v>81</v>
      </c>
      <c r="E86" s="168">
        <v>0.5</v>
      </c>
      <c r="F86" s="168">
        <v>0.51041666666666663</v>
      </c>
      <c r="G86" s="104">
        <f t="shared" si="1"/>
        <v>1.041666666666663E-2</v>
      </c>
      <c r="H86" s="204" t="s">
        <v>195</v>
      </c>
    </row>
    <row r="87" spans="2:8" ht="60" x14ac:dyDescent="0.25">
      <c r="B87" s="143">
        <v>44333</v>
      </c>
      <c r="C87" s="106">
        <f t="shared" si="0"/>
        <v>20</v>
      </c>
      <c r="D87" s="21" t="s">
        <v>81</v>
      </c>
      <c r="E87" s="168">
        <v>0.5625</v>
      </c>
      <c r="F87" s="168">
        <v>0.64583333333333337</v>
      </c>
      <c r="G87" s="104">
        <f t="shared" si="1"/>
        <v>8.333333333333337E-2</v>
      </c>
      <c r="H87" s="204" t="s">
        <v>196</v>
      </c>
    </row>
    <row r="88" spans="2:8" ht="30" x14ac:dyDescent="0.25">
      <c r="B88" s="143">
        <v>44333</v>
      </c>
      <c r="C88" s="106">
        <f t="shared" si="0"/>
        <v>20</v>
      </c>
      <c r="D88" s="21" t="s">
        <v>82</v>
      </c>
      <c r="E88" s="168">
        <v>0.64930555555555558</v>
      </c>
      <c r="F88" s="168">
        <v>0.69444444444444453</v>
      </c>
      <c r="G88" s="104">
        <f t="shared" si="1"/>
        <v>4.5138888888888951E-2</v>
      </c>
      <c r="H88" s="204" t="s">
        <v>197</v>
      </c>
    </row>
    <row r="89" spans="2:8" ht="30" x14ac:dyDescent="0.25">
      <c r="B89" s="143">
        <v>44333</v>
      </c>
      <c r="C89" s="106">
        <f t="shared" si="0"/>
        <v>20</v>
      </c>
      <c r="D89" s="21" t="s">
        <v>84</v>
      </c>
      <c r="E89" s="168">
        <v>0.69444444444444453</v>
      </c>
      <c r="F89" s="168">
        <v>0.70486111111111116</v>
      </c>
      <c r="G89" s="104">
        <f t="shared" si="1"/>
        <v>1.041666666666663E-2</v>
      </c>
      <c r="H89" s="204" t="s">
        <v>198</v>
      </c>
    </row>
    <row r="90" spans="2:8" ht="45" x14ac:dyDescent="0.25">
      <c r="B90" s="143">
        <v>44335</v>
      </c>
      <c r="C90" s="106">
        <f t="shared" si="0"/>
        <v>20</v>
      </c>
      <c r="D90" s="21" t="s">
        <v>84</v>
      </c>
      <c r="E90" s="168">
        <v>0.33333333333333331</v>
      </c>
      <c r="F90" s="168">
        <v>0.3611111111111111</v>
      </c>
      <c r="G90" s="104">
        <f t="shared" si="1"/>
        <v>2.777777777777779E-2</v>
      </c>
      <c r="H90" s="204" t="s">
        <v>199</v>
      </c>
    </row>
    <row r="91" spans="2:8" ht="30" x14ac:dyDescent="0.25">
      <c r="B91" s="143">
        <v>44335</v>
      </c>
      <c r="C91" s="106">
        <f t="shared" si="0"/>
        <v>20</v>
      </c>
      <c r="D91" s="21" t="s">
        <v>85</v>
      </c>
      <c r="E91" s="168">
        <v>0.3611111111111111</v>
      </c>
      <c r="F91" s="168">
        <v>0.36805555555555558</v>
      </c>
      <c r="G91" s="104">
        <f t="shared" si="1"/>
        <v>6.9444444444444753E-3</v>
      </c>
      <c r="H91" s="204" t="s">
        <v>200</v>
      </c>
    </row>
    <row r="92" spans="2:8" ht="30" x14ac:dyDescent="0.25">
      <c r="B92" s="143">
        <v>44335</v>
      </c>
      <c r="C92" s="106">
        <f t="shared" si="0"/>
        <v>20</v>
      </c>
      <c r="D92" s="21" t="s">
        <v>133</v>
      </c>
      <c r="E92" s="168">
        <v>0.36805555555555558</v>
      </c>
      <c r="F92" s="168">
        <v>0.375</v>
      </c>
      <c r="G92" s="104">
        <f t="shared" si="1"/>
        <v>6.9444444444444198E-3</v>
      </c>
      <c r="H92" s="204" t="s">
        <v>201</v>
      </c>
    </row>
    <row r="93" spans="2:8" ht="30" x14ac:dyDescent="0.25">
      <c r="B93" s="143">
        <v>44335</v>
      </c>
      <c r="C93" s="106">
        <f t="shared" si="0"/>
        <v>20</v>
      </c>
      <c r="D93" s="21" t="s">
        <v>87</v>
      </c>
      <c r="E93" s="168">
        <v>0.375</v>
      </c>
      <c r="F93" s="168">
        <v>0.37847222222222227</v>
      </c>
      <c r="G93" s="104">
        <f t="shared" si="1"/>
        <v>3.4722222222222654E-3</v>
      </c>
      <c r="H93" s="204" t="s">
        <v>202</v>
      </c>
    </row>
    <row r="94" spans="2:8" ht="60" customHeight="1" x14ac:dyDescent="0.25">
      <c r="B94" s="143">
        <v>44335</v>
      </c>
      <c r="C94" s="106">
        <f t="shared" si="0"/>
        <v>20</v>
      </c>
      <c r="D94" s="21" t="s">
        <v>86</v>
      </c>
      <c r="E94" s="168">
        <v>0.37847222222222227</v>
      </c>
      <c r="F94" s="168">
        <v>0.38541666666666669</v>
      </c>
      <c r="G94" s="104">
        <f t="shared" si="1"/>
        <v>6.9444444444444198E-3</v>
      </c>
      <c r="H94" s="204" t="s">
        <v>203</v>
      </c>
    </row>
    <row r="95" spans="2:8" ht="30" x14ac:dyDescent="0.25">
      <c r="B95" s="143">
        <v>44335</v>
      </c>
      <c r="C95" s="106">
        <f t="shared" si="0"/>
        <v>20</v>
      </c>
      <c r="D95" s="21" t="s">
        <v>88</v>
      </c>
      <c r="E95" s="168">
        <v>0.38541666666666669</v>
      </c>
      <c r="F95" s="168">
        <v>0.39930555555555558</v>
      </c>
      <c r="G95" s="104">
        <f t="shared" si="1"/>
        <v>1.3888888888888895E-2</v>
      </c>
      <c r="H95" s="204" t="s">
        <v>204</v>
      </c>
    </row>
    <row r="96" spans="2:8" ht="45" x14ac:dyDescent="0.25">
      <c r="B96" s="143">
        <v>44335</v>
      </c>
      <c r="C96" s="106">
        <f t="shared" si="0"/>
        <v>20</v>
      </c>
      <c r="D96" s="21" t="s">
        <v>88</v>
      </c>
      <c r="E96" s="168">
        <v>0.41319444444444442</v>
      </c>
      <c r="F96" s="168">
        <v>0.50347222222222221</v>
      </c>
      <c r="G96" s="104">
        <f t="shared" si="1"/>
        <v>9.027777777777779E-2</v>
      </c>
      <c r="H96" s="204" t="s">
        <v>205</v>
      </c>
    </row>
    <row r="97" spans="2:8" ht="30" x14ac:dyDescent="0.25">
      <c r="B97" s="143">
        <v>44335</v>
      </c>
      <c r="C97" s="106">
        <f t="shared" si="0"/>
        <v>20</v>
      </c>
      <c r="D97" s="21" t="s">
        <v>88</v>
      </c>
      <c r="E97" s="168">
        <v>0.57291666666666663</v>
      </c>
      <c r="F97" s="168">
        <v>0.58680555555555558</v>
      </c>
      <c r="G97" s="104">
        <f t="shared" si="1"/>
        <v>1.3888888888888951E-2</v>
      </c>
      <c r="H97" s="204" t="s">
        <v>206</v>
      </c>
    </row>
    <row r="98" spans="2:8" ht="45" x14ac:dyDescent="0.25">
      <c r="B98" s="143">
        <v>44335</v>
      </c>
      <c r="C98" s="106">
        <f t="shared" si="0"/>
        <v>20</v>
      </c>
      <c r="D98" s="21" t="s">
        <v>108</v>
      </c>
      <c r="E98" s="168">
        <v>0.58680555555555558</v>
      </c>
      <c r="F98" s="168">
        <v>0.60763888888888895</v>
      </c>
      <c r="G98" s="104">
        <f t="shared" si="1"/>
        <v>2.083333333333337E-2</v>
      </c>
      <c r="H98" s="204" t="s">
        <v>207</v>
      </c>
    </row>
    <row r="99" spans="2:8" ht="30" customHeight="1" x14ac:dyDescent="0.25">
      <c r="B99" s="143">
        <v>44335</v>
      </c>
      <c r="C99" s="106">
        <f t="shared" si="0"/>
        <v>20</v>
      </c>
      <c r="D99" s="21" t="s">
        <v>89</v>
      </c>
      <c r="E99" s="168">
        <v>0.60763888888888895</v>
      </c>
      <c r="F99" s="168">
        <v>0.625</v>
      </c>
      <c r="G99" s="104">
        <f t="shared" si="1"/>
        <v>1.7361111111111049E-2</v>
      </c>
      <c r="H99" s="204" t="s">
        <v>208</v>
      </c>
    </row>
    <row r="100" spans="2:8" ht="30" x14ac:dyDescent="0.25">
      <c r="B100" s="143">
        <v>44335</v>
      </c>
      <c r="C100" s="106">
        <f t="shared" si="0"/>
        <v>20</v>
      </c>
      <c r="D100" s="21" t="s">
        <v>90</v>
      </c>
      <c r="E100" s="168">
        <v>0.625</v>
      </c>
      <c r="F100" s="168">
        <v>0.63194444444444442</v>
      </c>
      <c r="G100" s="104">
        <f t="shared" si="1"/>
        <v>6.9444444444444198E-3</v>
      </c>
      <c r="H100" s="204" t="s">
        <v>209</v>
      </c>
    </row>
    <row r="101" spans="2:8" ht="30" x14ac:dyDescent="0.25">
      <c r="B101" s="143">
        <v>44335</v>
      </c>
      <c r="C101" s="106">
        <f t="shared" si="0"/>
        <v>20</v>
      </c>
      <c r="D101" s="21" t="s">
        <v>90</v>
      </c>
      <c r="E101" s="168">
        <v>0.63194444444444442</v>
      </c>
      <c r="F101" s="168">
        <v>0.65625</v>
      </c>
      <c r="G101" s="104">
        <f t="shared" si="1"/>
        <v>2.430555555555558E-2</v>
      </c>
      <c r="H101" s="204" t="s">
        <v>210</v>
      </c>
    </row>
    <row r="102" spans="2:8" ht="45" customHeight="1" x14ac:dyDescent="0.25">
      <c r="B102" s="143">
        <v>44335</v>
      </c>
      <c r="C102" s="106">
        <f t="shared" si="0"/>
        <v>20</v>
      </c>
      <c r="D102" s="21" t="s">
        <v>90</v>
      </c>
      <c r="E102" s="168">
        <v>0.65625</v>
      </c>
      <c r="F102" s="168">
        <v>0.67013888888888884</v>
      </c>
      <c r="G102" s="104">
        <f t="shared" si="1"/>
        <v>1.388888888888884E-2</v>
      </c>
      <c r="H102" s="204" t="s">
        <v>211</v>
      </c>
    </row>
    <row r="103" spans="2:8" ht="60" x14ac:dyDescent="0.25">
      <c r="B103" s="143">
        <v>44335</v>
      </c>
      <c r="C103" s="106">
        <f t="shared" si="0"/>
        <v>20</v>
      </c>
      <c r="D103" s="21" t="s">
        <v>91</v>
      </c>
      <c r="E103" s="168">
        <v>0.67013888888888884</v>
      </c>
      <c r="F103" s="168">
        <v>0.70486111111111116</v>
      </c>
      <c r="G103" s="104">
        <f t="shared" si="1"/>
        <v>3.4722222222222321E-2</v>
      </c>
      <c r="H103" s="204" t="s">
        <v>212</v>
      </c>
    </row>
    <row r="104" spans="2:8" ht="30" x14ac:dyDescent="0.25">
      <c r="B104" s="143">
        <v>44336</v>
      </c>
      <c r="C104" s="106">
        <f t="shared" si="0"/>
        <v>20</v>
      </c>
      <c r="D104" s="21" t="s">
        <v>91</v>
      </c>
      <c r="E104" s="168">
        <v>0.33333333333333331</v>
      </c>
      <c r="F104" s="168">
        <v>0.375</v>
      </c>
      <c r="G104" s="104">
        <f t="shared" si="1"/>
        <v>4.1666666666666685E-2</v>
      </c>
      <c r="H104" s="204" t="s">
        <v>213</v>
      </c>
    </row>
    <row r="105" spans="2:8" ht="30" x14ac:dyDescent="0.25">
      <c r="B105" s="143">
        <v>44336</v>
      </c>
      <c r="C105" s="106">
        <f t="shared" si="0"/>
        <v>20</v>
      </c>
      <c r="D105" s="21" t="s">
        <v>161</v>
      </c>
      <c r="E105" s="168">
        <v>0.375</v>
      </c>
      <c r="F105" s="168">
        <v>0.38194444444444442</v>
      </c>
      <c r="G105" s="104">
        <f t="shared" si="1"/>
        <v>6.9444444444444198E-3</v>
      </c>
      <c r="H105" s="204" t="s">
        <v>214</v>
      </c>
    </row>
    <row r="106" spans="2:8" ht="30" x14ac:dyDescent="0.25">
      <c r="B106" s="143">
        <v>44336</v>
      </c>
      <c r="C106" s="106">
        <f t="shared" si="0"/>
        <v>20</v>
      </c>
      <c r="D106" s="21" t="s">
        <v>83</v>
      </c>
      <c r="E106" s="168">
        <v>0.38194444444444442</v>
      </c>
      <c r="F106" s="168">
        <v>0.39583333333333331</v>
      </c>
      <c r="G106" s="104">
        <f t="shared" si="1"/>
        <v>1.3888888888888895E-2</v>
      </c>
      <c r="H106" s="204" t="s">
        <v>215</v>
      </c>
    </row>
    <row r="107" spans="2:8" ht="30" x14ac:dyDescent="0.25">
      <c r="B107" s="143">
        <v>44336</v>
      </c>
      <c r="C107" s="106">
        <f t="shared" si="0"/>
        <v>20</v>
      </c>
      <c r="D107" s="21" t="s">
        <v>83</v>
      </c>
      <c r="E107" s="168">
        <v>0.40972222222222227</v>
      </c>
      <c r="F107" s="168">
        <v>0.4236111111111111</v>
      </c>
      <c r="G107" s="104">
        <f t="shared" si="1"/>
        <v>1.388888888888884E-2</v>
      </c>
      <c r="H107" s="204" t="s">
        <v>216</v>
      </c>
    </row>
    <row r="108" spans="2:8" ht="45" x14ac:dyDescent="0.25">
      <c r="B108" s="143">
        <v>44336</v>
      </c>
      <c r="C108" s="106">
        <f t="shared" si="0"/>
        <v>20</v>
      </c>
      <c r="D108" s="21" t="s">
        <v>64</v>
      </c>
      <c r="E108" s="168">
        <v>0.4236111111111111</v>
      </c>
      <c r="F108" s="168">
        <v>0.4375</v>
      </c>
      <c r="G108" s="104">
        <f t="shared" si="1"/>
        <v>1.3888888888888895E-2</v>
      </c>
      <c r="H108" s="204" t="s">
        <v>217</v>
      </c>
    </row>
    <row r="109" spans="2:8" ht="30" x14ac:dyDescent="0.25">
      <c r="B109" s="143">
        <v>44336</v>
      </c>
      <c r="C109" s="106">
        <f t="shared" si="0"/>
        <v>20</v>
      </c>
      <c r="D109" s="21" t="s">
        <v>81</v>
      </c>
      <c r="E109" s="168">
        <v>0.4375</v>
      </c>
      <c r="F109" s="168">
        <v>0.4513888888888889</v>
      </c>
      <c r="G109" s="104">
        <f t="shared" si="1"/>
        <v>1.3888888888888895E-2</v>
      </c>
      <c r="H109" s="204" t="s">
        <v>218</v>
      </c>
    </row>
    <row r="110" spans="2:8" ht="30" customHeight="1" x14ac:dyDescent="0.25">
      <c r="B110" s="143">
        <v>44336</v>
      </c>
      <c r="C110" s="106">
        <f t="shared" si="0"/>
        <v>20</v>
      </c>
      <c r="D110" s="21" t="s">
        <v>89</v>
      </c>
      <c r="E110" s="168">
        <v>0.4513888888888889</v>
      </c>
      <c r="F110" s="168">
        <v>0.45833333333333331</v>
      </c>
      <c r="G110" s="104">
        <f t="shared" si="1"/>
        <v>6.9444444444444198E-3</v>
      </c>
      <c r="H110" s="204" t="s">
        <v>219</v>
      </c>
    </row>
    <row r="111" spans="2:8" ht="30" x14ac:dyDescent="0.25">
      <c r="B111" s="143">
        <v>44336</v>
      </c>
      <c r="C111" s="106">
        <f t="shared" si="0"/>
        <v>20</v>
      </c>
      <c r="D111" s="21" t="s">
        <v>90</v>
      </c>
      <c r="E111" s="168">
        <v>0.45833333333333331</v>
      </c>
      <c r="F111" s="168">
        <v>0.46527777777777773</v>
      </c>
      <c r="G111" s="104">
        <f t="shared" si="1"/>
        <v>6.9444444444444198E-3</v>
      </c>
      <c r="H111" s="204" t="s">
        <v>220</v>
      </c>
    </row>
    <row r="112" spans="2:8" ht="30" x14ac:dyDescent="0.25">
      <c r="B112" s="143">
        <v>44336</v>
      </c>
      <c r="C112" s="106">
        <f t="shared" si="0"/>
        <v>20</v>
      </c>
      <c r="D112" s="21" t="s">
        <v>108</v>
      </c>
      <c r="E112" s="168">
        <v>0.46875</v>
      </c>
      <c r="F112" s="168">
        <v>0.48958333333333331</v>
      </c>
      <c r="G112" s="104">
        <f t="shared" si="1"/>
        <v>2.0833333333333315E-2</v>
      </c>
      <c r="H112" s="204" t="s">
        <v>221</v>
      </c>
    </row>
    <row r="113" spans="2:8" ht="75" customHeight="1" x14ac:dyDescent="0.25">
      <c r="B113" s="143">
        <v>44336</v>
      </c>
      <c r="C113" s="106">
        <f t="shared" si="0"/>
        <v>20</v>
      </c>
      <c r="D113" s="21" t="s">
        <v>92</v>
      </c>
      <c r="E113" s="168">
        <v>0.48958333333333331</v>
      </c>
      <c r="F113" s="168">
        <v>0.50694444444444442</v>
      </c>
      <c r="G113" s="104">
        <f t="shared" si="1"/>
        <v>1.7361111111111105E-2</v>
      </c>
      <c r="H113" s="204" t="s">
        <v>222</v>
      </c>
    </row>
    <row r="114" spans="2:8" ht="45" x14ac:dyDescent="0.25">
      <c r="B114" s="143">
        <v>44336</v>
      </c>
      <c r="C114" s="106">
        <f t="shared" si="0"/>
        <v>20</v>
      </c>
      <c r="D114" s="21" t="s">
        <v>91</v>
      </c>
      <c r="E114" s="168">
        <v>0.5625</v>
      </c>
      <c r="F114" s="168">
        <v>0.61805555555555558</v>
      </c>
      <c r="G114" s="104">
        <f t="shared" si="1"/>
        <v>5.555555555555558E-2</v>
      </c>
      <c r="H114" s="204" t="s">
        <v>223</v>
      </c>
    </row>
    <row r="115" spans="2:8" ht="30" x14ac:dyDescent="0.25">
      <c r="B115" s="143">
        <v>44336</v>
      </c>
      <c r="C115" s="106">
        <f t="shared" si="0"/>
        <v>20</v>
      </c>
      <c r="D115" s="21" t="s">
        <v>64</v>
      </c>
      <c r="E115" s="168">
        <v>0.61805555555555558</v>
      </c>
      <c r="F115" s="168">
        <v>0.63194444444444442</v>
      </c>
      <c r="G115" s="104">
        <f t="shared" si="1"/>
        <v>1.388888888888884E-2</v>
      </c>
      <c r="H115" s="204" t="s">
        <v>224</v>
      </c>
    </row>
    <row r="116" spans="2:8" ht="30" x14ac:dyDescent="0.25">
      <c r="B116" s="143">
        <v>44336</v>
      </c>
      <c r="C116" s="106">
        <f t="shared" si="0"/>
        <v>20</v>
      </c>
      <c r="D116" s="21" t="s">
        <v>91</v>
      </c>
      <c r="E116" s="168">
        <v>0.64236111111111105</v>
      </c>
      <c r="F116" s="168">
        <v>0.65625</v>
      </c>
      <c r="G116" s="104">
        <f t="shared" si="1"/>
        <v>1.3888888888888951E-2</v>
      </c>
      <c r="H116" s="204" t="s">
        <v>225</v>
      </c>
    </row>
    <row r="117" spans="2:8" ht="30" x14ac:dyDescent="0.25">
      <c r="B117" s="143">
        <v>44336</v>
      </c>
      <c r="C117" s="106">
        <f t="shared" si="0"/>
        <v>20</v>
      </c>
      <c r="D117" s="21" t="s">
        <v>161</v>
      </c>
      <c r="E117" s="168">
        <v>0.65625</v>
      </c>
      <c r="F117" s="168">
        <v>0.65972222222222221</v>
      </c>
      <c r="G117" s="104">
        <f t="shared" si="1"/>
        <v>3.4722222222222099E-3</v>
      </c>
      <c r="H117" s="204" t="s">
        <v>226</v>
      </c>
    </row>
    <row r="118" spans="2:8" ht="30" x14ac:dyDescent="0.25">
      <c r="B118" s="143">
        <v>44336</v>
      </c>
      <c r="C118" s="106">
        <f t="shared" si="0"/>
        <v>20</v>
      </c>
      <c r="D118" s="21" t="s">
        <v>100</v>
      </c>
      <c r="E118" s="168">
        <v>0.65972222222222221</v>
      </c>
      <c r="F118" s="168">
        <v>0.66666666666666663</v>
      </c>
      <c r="G118" s="104">
        <f t="shared" si="1"/>
        <v>6.9444444444444198E-3</v>
      </c>
      <c r="H118" s="204" t="s">
        <v>227</v>
      </c>
    </row>
    <row r="119" spans="2:8" ht="30" x14ac:dyDescent="0.25">
      <c r="B119" s="143">
        <v>44337</v>
      </c>
      <c r="C119" s="106">
        <f t="shared" si="0"/>
        <v>20</v>
      </c>
      <c r="D119" s="21" t="s">
        <v>82</v>
      </c>
      <c r="E119" s="168">
        <v>0.33680555555555558</v>
      </c>
      <c r="F119" s="168">
        <v>0.375</v>
      </c>
      <c r="G119" s="104">
        <f t="shared" si="1"/>
        <v>3.819444444444442E-2</v>
      </c>
      <c r="H119" s="204" t="s">
        <v>228</v>
      </c>
    </row>
    <row r="120" spans="2:8" ht="45" x14ac:dyDescent="0.25">
      <c r="B120" s="143">
        <v>44337</v>
      </c>
      <c r="C120" s="106">
        <f t="shared" si="0"/>
        <v>20</v>
      </c>
      <c r="D120" s="21" t="s">
        <v>83</v>
      </c>
      <c r="E120" s="168">
        <v>0.375</v>
      </c>
      <c r="F120" s="168">
        <v>0.39930555555555558</v>
      </c>
      <c r="G120" s="104">
        <f t="shared" si="1"/>
        <v>2.430555555555558E-2</v>
      </c>
      <c r="H120" s="204" t="s">
        <v>229</v>
      </c>
    </row>
    <row r="121" spans="2:8" ht="45" x14ac:dyDescent="0.25">
      <c r="B121" s="143">
        <v>44341</v>
      </c>
      <c r="C121" s="106">
        <f t="shared" si="0"/>
        <v>21</v>
      </c>
      <c r="D121" s="21" t="s">
        <v>73</v>
      </c>
      <c r="E121" s="168">
        <v>0.35069444444444442</v>
      </c>
      <c r="F121" s="168">
        <v>0.3576388888888889</v>
      </c>
      <c r="G121" s="104">
        <f t="shared" si="1"/>
        <v>6.9444444444444753E-3</v>
      </c>
      <c r="H121" s="204" t="s">
        <v>230</v>
      </c>
    </row>
    <row r="122" spans="2:8" ht="75" x14ac:dyDescent="0.25">
      <c r="B122" s="143">
        <v>44341</v>
      </c>
      <c r="C122" s="106">
        <f t="shared" si="0"/>
        <v>21</v>
      </c>
      <c r="D122" s="21" t="s">
        <v>65</v>
      </c>
      <c r="E122" s="168">
        <v>0.3576388888888889</v>
      </c>
      <c r="F122" s="168">
        <v>0.39930555555555558</v>
      </c>
      <c r="G122" s="104">
        <f t="shared" si="1"/>
        <v>4.1666666666666685E-2</v>
      </c>
      <c r="H122" s="204" t="s">
        <v>231</v>
      </c>
    </row>
    <row r="123" spans="2:8" ht="30" customHeight="1" x14ac:dyDescent="0.25">
      <c r="B123" s="143">
        <v>44341</v>
      </c>
      <c r="C123" s="106">
        <f t="shared" si="0"/>
        <v>21</v>
      </c>
      <c r="D123" s="21" t="s">
        <v>65</v>
      </c>
      <c r="E123" s="168">
        <v>0.40972222222222227</v>
      </c>
      <c r="F123" s="168">
        <v>0.47916666666666669</v>
      </c>
      <c r="G123" s="104">
        <f t="shared" si="1"/>
        <v>6.944444444444442E-2</v>
      </c>
      <c r="H123" s="204" t="s">
        <v>232</v>
      </c>
    </row>
    <row r="124" spans="2:8" ht="30" customHeight="1" x14ac:dyDescent="0.25">
      <c r="B124" s="143">
        <v>44341</v>
      </c>
      <c r="C124" s="106">
        <f t="shared" si="0"/>
        <v>21</v>
      </c>
      <c r="D124" s="21" t="s">
        <v>65</v>
      </c>
      <c r="E124" s="168">
        <v>0.47916666666666669</v>
      </c>
      <c r="F124" s="168">
        <v>0.5</v>
      </c>
      <c r="G124" s="104">
        <f t="shared" si="1"/>
        <v>2.0833333333333315E-2</v>
      </c>
      <c r="H124" s="204" t="s">
        <v>233</v>
      </c>
    </row>
    <row r="125" spans="2:8" ht="30" x14ac:dyDescent="0.25">
      <c r="B125" s="143">
        <v>44341</v>
      </c>
      <c r="C125" s="106">
        <f t="shared" si="0"/>
        <v>21</v>
      </c>
      <c r="D125" s="21" t="s">
        <v>98</v>
      </c>
      <c r="E125" s="168">
        <v>0.5</v>
      </c>
      <c r="F125" s="168">
        <v>0.51041666666666663</v>
      </c>
      <c r="G125" s="104">
        <f t="shared" si="1"/>
        <v>1.041666666666663E-2</v>
      </c>
      <c r="H125" s="204" t="s">
        <v>234</v>
      </c>
    </row>
    <row r="126" spans="2:8" ht="30" customHeight="1" x14ac:dyDescent="0.25">
      <c r="B126" s="143">
        <v>44341</v>
      </c>
      <c r="C126" s="106">
        <f t="shared" si="0"/>
        <v>21</v>
      </c>
      <c r="D126" s="21" t="s">
        <v>65</v>
      </c>
      <c r="E126" s="168">
        <v>0.63888888888888895</v>
      </c>
      <c r="F126" s="168">
        <v>0.65625</v>
      </c>
      <c r="G126" s="104">
        <f t="shared" si="1"/>
        <v>1.7361111111111049E-2</v>
      </c>
      <c r="H126" s="204" t="s">
        <v>235</v>
      </c>
    </row>
    <row r="127" spans="2:8" ht="30" x14ac:dyDescent="0.25">
      <c r="B127" s="143">
        <v>44341</v>
      </c>
      <c r="C127" s="106">
        <f t="shared" si="0"/>
        <v>21</v>
      </c>
      <c r="D127" s="21" t="s">
        <v>72</v>
      </c>
      <c r="E127" s="168">
        <v>0.65625</v>
      </c>
      <c r="F127" s="168">
        <v>0.67361111111111116</v>
      </c>
      <c r="G127" s="104">
        <f t="shared" si="1"/>
        <v>1.736111111111116E-2</v>
      </c>
      <c r="H127" s="204" t="s">
        <v>236</v>
      </c>
    </row>
    <row r="128" spans="2:8" ht="60" x14ac:dyDescent="0.25">
      <c r="B128" s="143">
        <v>44341</v>
      </c>
      <c r="C128" s="106">
        <f t="shared" si="0"/>
        <v>21</v>
      </c>
      <c r="D128" s="21" t="s">
        <v>72</v>
      </c>
      <c r="E128" s="168">
        <v>0.67708333333333337</v>
      </c>
      <c r="F128" s="168">
        <v>0.70138888888888884</v>
      </c>
      <c r="G128" s="104">
        <f t="shared" si="1"/>
        <v>2.4305555555555469E-2</v>
      </c>
      <c r="H128" s="204" t="s">
        <v>237</v>
      </c>
    </row>
    <row r="129" spans="2:8" ht="30" x14ac:dyDescent="0.25">
      <c r="B129" s="143">
        <v>44341</v>
      </c>
      <c r="C129" s="106">
        <f t="shared" si="0"/>
        <v>21</v>
      </c>
      <c r="D129" s="21" t="s">
        <v>100</v>
      </c>
      <c r="E129" s="168">
        <v>0.70138888888888884</v>
      </c>
      <c r="F129" s="168">
        <v>0.70486111111111116</v>
      </c>
      <c r="G129" s="104">
        <f t="shared" si="1"/>
        <v>3.4722222222223209E-3</v>
      </c>
      <c r="H129" s="204" t="s">
        <v>238</v>
      </c>
    </row>
    <row r="130" spans="2:8" ht="30" x14ac:dyDescent="0.25">
      <c r="B130" s="143">
        <v>44342</v>
      </c>
      <c r="C130" s="106">
        <f t="shared" si="0"/>
        <v>21</v>
      </c>
      <c r="D130" s="21" t="s">
        <v>160</v>
      </c>
      <c r="E130" s="168">
        <v>0.33333333333333331</v>
      </c>
      <c r="F130" s="168">
        <v>0.34722222222222227</v>
      </c>
      <c r="G130" s="104">
        <f t="shared" si="1"/>
        <v>1.3888888888888951E-2</v>
      </c>
      <c r="H130" s="204" t="s">
        <v>240</v>
      </c>
    </row>
    <row r="131" spans="2:8" ht="45" x14ac:dyDescent="0.25">
      <c r="B131" s="143">
        <v>44342</v>
      </c>
      <c r="C131" s="106">
        <f t="shared" si="0"/>
        <v>21</v>
      </c>
      <c r="D131" s="21" t="s">
        <v>65</v>
      </c>
      <c r="E131" s="168">
        <v>0.34722222222222227</v>
      </c>
      <c r="F131" s="168">
        <v>0.38541666666666669</v>
      </c>
      <c r="G131" s="104">
        <f t="shared" si="1"/>
        <v>3.819444444444442E-2</v>
      </c>
      <c r="H131" s="204" t="s">
        <v>241</v>
      </c>
    </row>
    <row r="132" spans="2:8" ht="30" x14ac:dyDescent="0.25">
      <c r="B132" s="143">
        <v>44342</v>
      </c>
      <c r="C132" s="106">
        <f t="shared" si="0"/>
        <v>21</v>
      </c>
      <c r="D132" s="21" t="s">
        <v>67</v>
      </c>
      <c r="E132" s="168">
        <v>0.38541666666666669</v>
      </c>
      <c r="F132" s="168">
        <v>0.39930555555555558</v>
      </c>
      <c r="G132" s="104">
        <f t="shared" si="1"/>
        <v>1.3888888888888895E-2</v>
      </c>
      <c r="H132" s="204" t="s">
        <v>242</v>
      </c>
    </row>
    <row r="133" spans="2:8" ht="30" x14ac:dyDescent="0.25">
      <c r="B133" s="143">
        <v>44342</v>
      </c>
      <c r="C133" s="106">
        <f t="shared" si="0"/>
        <v>21</v>
      </c>
      <c r="D133" s="21" t="s">
        <v>68</v>
      </c>
      <c r="E133" s="168">
        <v>0.40972222222222227</v>
      </c>
      <c r="F133" s="168">
        <v>0.4375</v>
      </c>
      <c r="G133" s="104">
        <f t="shared" si="1"/>
        <v>2.7777777777777735E-2</v>
      </c>
      <c r="H133" s="204" t="s">
        <v>243</v>
      </c>
    </row>
    <row r="134" spans="2:8" ht="45" x14ac:dyDescent="0.25">
      <c r="B134" s="143">
        <v>44342</v>
      </c>
      <c r="C134" s="106">
        <f t="shared" si="0"/>
        <v>21</v>
      </c>
      <c r="D134" s="21" t="s">
        <v>98</v>
      </c>
      <c r="E134" s="168">
        <v>0.4375</v>
      </c>
      <c r="F134" s="168">
        <v>0.51041666666666663</v>
      </c>
      <c r="G134" s="104">
        <f t="shared" si="1"/>
        <v>7.291666666666663E-2</v>
      </c>
      <c r="H134" s="204" t="s">
        <v>244</v>
      </c>
    </row>
    <row r="135" spans="2:8" ht="30" x14ac:dyDescent="0.25">
      <c r="B135" s="143">
        <v>44342</v>
      </c>
      <c r="C135" s="106">
        <f t="shared" si="0"/>
        <v>21</v>
      </c>
      <c r="D135" s="21" t="s">
        <v>98</v>
      </c>
      <c r="E135" s="168">
        <v>0.5625</v>
      </c>
      <c r="F135" s="168">
        <v>0.60069444444444442</v>
      </c>
      <c r="G135" s="104">
        <f t="shared" si="1"/>
        <v>3.819444444444442E-2</v>
      </c>
      <c r="H135" s="204" t="s">
        <v>245</v>
      </c>
    </row>
    <row r="136" spans="2:8" ht="30" x14ac:dyDescent="0.25">
      <c r="B136" s="143">
        <v>44343</v>
      </c>
      <c r="C136" s="106">
        <f t="shared" si="0"/>
        <v>21</v>
      </c>
      <c r="D136" s="21" t="s">
        <v>68</v>
      </c>
      <c r="E136" s="168">
        <v>0.33333333333333331</v>
      </c>
      <c r="F136" s="168">
        <v>0.3611111111111111</v>
      </c>
      <c r="G136" s="104">
        <f t="shared" si="1"/>
        <v>2.777777777777779E-2</v>
      </c>
      <c r="H136" s="204" t="s">
        <v>250</v>
      </c>
    </row>
    <row r="137" spans="2:8" x14ac:dyDescent="0.25">
      <c r="B137" s="143">
        <v>44343</v>
      </c>
      <c r="C137" s="106">
        <f t="shared" si="0"/>
        <v>21</v>
      </c>
      <c r="D137" s="21" t="s">
        <v>50</v>
      </c>
      <c r="E137" s="168">
        <v>0.36458333333333331</v>
      </c>
      <c r="F137" s="168">
        <v>0.375</v>
      </c>
      <c r="G137" s="104">
        <f t="shared" si="1"/>
        <v>1.0416666666666685E-2</v>
      </c>
      <c r="H137" s="204" t="s">
        <v>251</v>
      </c>
    </row>
    <row r="138" spans="2:8" ht="30" x14ac:dyDescent="0.25">
      <c r="B138" s="143">
        <v>44343</v>
      </c>
      <c r="C138" s="106">
        <f t="shared" si="0"/>
        <v>21</v>
      </c>
      <c r="D138" s="21" t="s">
        <v>98</v>
      </c>
      <c r="E138" s="168">
        <v>0.375</v>
      </c>
      <c r="F138" s="168">
        <v>0.39930555555555558</v>
      </c>
      <c r="G138" s="104">
        <f t="shared" si="1"/>
        <v>2.430555555555558E-2</v>
      </c>
      <c r="H138" s="204" t="s">
        <v>252</v>
      </c>
    </row>
    <row r="139" spans="2:8" ht="30" x14ac:dyDescent="0.25">
      <c r="B139" s="143">
        <v>44343</v>
      </c>
      <c r="C139" s="106">
        <f t="shared" si="0"/>
        <v>21</v>
      </c>
      <c r="D139" s="21" t="s">
        <v>98</v>
      </c>
      <c r="E139" s="168">
        <v>0.40972222222222227</v>
      </c>
      <c r="F139" s="168">
        <v>0.47916666666666669</v>
      </c>
      <c r="G139" s="104">
        <f t="shared" si="1"/>
        <v>6.944444444444442E-2</v>
      </c>
      <c r="H139" s="204" t="s">
        <v>253</v>
      </c>
    </row>
    <row r="140" spans="2:8" x14ac:dyDescent="0.25">
      <c r="B140" s="143">
        <v>44343</v>
      </c>
      <c r="C140" s="106">
        <f t="shared" si="0"/>
        <v>21</v>
      </c>
      <c r="D140" s="21" t="s">
        <v>49</v>
      </c>
      <c r="E140" s="168">
        <v>0.47916666666666669</v>
      </c>
      <c r="F140" s="168">
        <v>0.5</v>
      </c>
      <c r="G140" s="104">
        <f t="shared" si="1"/>
        <v>2.0833333333333315E-2</v>
      </c>
      <c r="H140" s="204" t="s">
        <v>254</v>
      </c>
    </row>
    <row r="141" spans="2:8" ht="45" x14ac:dyDescent="0.25">
      <c r="B141" s="143">
        <v>44343</v>
      </c>
      <c r="C141" s="106">
        <f t="shared" si="0"/>
        <v>21</v>
      </c>
      <c r="D141" s="21" t="s">
        <v>64</v>
      </c>
      <c r="E141" s="168">
        <v>0.5625</v>
      </c>
      <c r="F141" s="168">
        <v>0.57638888888888895</v>
      </c>
      <c r="G141" s="104">
        <f t="shared" si="1"/>
        <v>1.3888888888888951E-2</v>
      </c>
      <c r="H141" s="204" t="s">
        <v>255</v>
      </c>
    </row>
    <row r="142" spans="2:8" ht="45" x14ac:dyDescent="0.25">
      <c r="B142" s="143">
        <v>44343</v>
      </c>
      <c r="C142" s="106">
        <f t="shared" si="0"/>
        <v>21</v>
      </c>
      <c r="D142" s="21" t="s">
        <v>50</v>
      </c>
      <c r="E142" s="168">
        <v>0.57638888888888895</v>
      </c>
      <c r="F142" s="168">
        <v>0.62847222222222221</v>
      </c>
      <c r="G142" s="104">
        <f t="shared" si="1"/>
        <v>5.2083333333333259E-2</v>
      </c>
      <c r="H142" s="204" t="s">
        <v>256</v>
      </c>
    </row>
    <row r="143" spans="2:8" ht="30" x14ac:dyDescent="0.25">
      <c r="B143" s="143">
        <v>44343</v>
      </c>
      <c r="C143" s="106">
        <f t="shared" si="0"/>
        <v>21</v>
      </c>
      <c r="D143" s="21" t="s">
        <v>257</v>
      </c>
      <c r="E143" s="168">
        <v>0.63888888888888895</v>
      </c>
      <c r="F143" s="168">
        <v>0.65277777777777779</v>
      </c>
      <c r="G143" s="104">
        <f t="shared" si="1"/>
        <v>1.388888888888884E-2</v>
      </c>
      <c r="H143" s="204" t="s">
        <v>258</v>
      </c>
    </row>
    <row r="144" spans="2:8" x14ac:dyDescent="0.25">
      <c r="B144" s="143">
        <v>44343</v>
      </c>
      <c r="C144" s="106">
        <f t="shared" si="0"/>
        <v>21</v>
      </c>
      <c r="D144" s="21" t="s">
        <v>50</v>
      </c>
      <c r="E144" s="168">
        <v>0.65277777777777779</v>
      </c>
      <c r="F144" s="168">
        <v>0.65972222222222221</v>
      </c>
      <c r="G144" s="104">
        <f t="shared" si="1"/>
        <v>6.9444444444444198E-3</v>
      </c>
      <c r="H144" s="204" t="s">
        <v>259</v>
      </c>
    </row>
    <row r="145" spans="2:8" ht="30" x14ac:dyDescent="0.25">
      <c r="B145" s="143">
        <v>44343</v>
      </c>
      <c r="C145" s="106">
        <f t="shared" si="0"/>
        <v>21</v>
      </c>
      <c r="D145" s="21" t="s">
        <v>100</v>
      </c>
      <c r="E145" s="168">
        <v>0.65972222222222221</v>
      </c>
      <c r="F145" s="168">
        <v>0.66319444444444442</v>
      </c>
      <c r="G145" s="104">
        <f t="shared" si="1"/>
        <v>3.4722222222222099E-3</v>
      </c>
      <c r="H145" s="204" t="s">
        <v>260</v>
      </c>
    </row>
    <row r="146" spans="2:8" x14ac:dyDescent="0.25">
      <c r="B146" s="143"/>
      <c r="C146" s="106" t="str">
        <f t="shared" si="0"/>
        <v/>
      </c>
      <c r="D146" s="21"/>
      <c r="E146" s="168"/>
      <c r="F146" s="168"/>
      <c r="G146" s="104">
        <f t="shared" si="1"/>
        <v>0</v>
      </c>
      <c r="H146" s="204"/>
    </row>
    <row r="147" spans="2:8" x14ac:dyDescent="0.25">
      <c r="B147" s="143"/>
      <c r="C147" s="106" t="str">
        <f t="shared" si="0"/>
        <v/>
      </c>
      <c r="D147" s="21"/>
      <c r="E147" s="168"/>
      <c r="F147" s="168"/>
      <c r="G147" s="104">
        <f t="shared" si="1"/>
        <v>0</v>
      </c>
      <c r="H147" s="204"/>
    </row>
    <row r="148" spans="2:8" x14ac:dyDescent="0.25">
      <c r="B148" s="143"/>
      <c r="C148" s="106" t="str">
        <f t="shared" si="0"/>
        <v/>
      </c>
      <c r="D148" s="21"/>
      <c r="E148" s="168"/>
      <c r="F148" s="168"/>
      <c r="G148" s="104">
        <f t="shared" si="1"/>
        <v>0</v>
      </c>
      <c r="H148" s="204"/>
    </row>
    <row r="149" spans="2:8" x14ac:dyDescent="0.25">
      <c r="B149" s="143"/>
      <c r="C149" s="106" t="str">
        <f t="shared" si="0"/>
        <v/>
      </c>
      <c r="D149" s="21"/>
      <c r="E149" s="168"/>
      <c r="F149" s="168"/>
      <c r="G149" s="104">
        <f t="shared" si="1"/>
        <v>0</v>
      </c>
      <c r="H149" s="204"/>
    </row>
    <row r="150" spans="2:8" x14ac:dyDescent="0.25">
      <c r="B150" s="143"/>
      <c r="C150" s="106" t="str">
        <f t="shared" si="0"/>
        <v/>
      </c>
      <c r="D150" s="21"/>
      <c r="E150" s="168"/>
      <c r="F150" s="168"/>
      <c r="G150" s="104">
        <f t="shared" si="1"/>
        <v>0</v>
      </c>
      <c r="H150" s="204"/>
    </row>
    <row r="151" spans="2:8" x14ac:dyDescent="0.25">
      <c r="B151" s="143"/>
      <c r="C151" s="106" t="str">
        <f t="shared" si="0"/>
        <v/>
      </c>
      <c r="D151" s="21"/>
      <c r="E151" s="168"/>
      <c r="F151" s="168"/>
      <c r="G151" s="104">
        <f t="shared" si="1"/>
        <v>0</v>
      </c>
      <c r="H151" s="204"/>
    </row>
    <row r="153" spans="2:8" ht="15" customHeight="1" x14ac:dyDescent="0.25">
      <c r="D153" s="206" t="s">
        <v>249</v>
      </c>
      <c r="E153" s="207">
        <f>SUM(G4:G151)</f>
        <v>3.0868055555555545</v>
      </c>
    </row>
    <row r="154" spans="2:8" ht="15" customHeight="1" x14ac:dyDescent="0.25">
      <c r="D154" s="206" t="s">
        <v>44</v>
      </c>
      <c r="E154" s="144">
        <f>SUMIF($C$4:$C$151,18,$G$4:$G$151)</f>
        <v>0.86458333333333326</v>
      </c>
    </row>
    <row r="155" spans="2:8" ht="15" customHeight="1" x14ac:dyDescent="0.25">
      <c r="D155" s="206" t="s">
        <v>45</v>
      </c>
      <c r="E155" s="144">
        <f>SUMIF($C$4:$C$151,19,$G$4:$G$151)</f>
        <v>0.6979166666666663</v>
      </c>
    </row>
    <row r="156" spans="2:8" ht="15" customHeight="1" x14ac:dyDescent="0.25">
      <c r="D156" s="206" t="s">
        <v>46</v>
      </c>
      <c r="E156" s="144">
        <f>SUMIF($C$4:$C$151,20,$G$4:$G$151)</f>
        <v>0.86458333333333326</v>
      </c>
    </row>
    <row r="157" spans="2:8" ht="15" customHeight="1" x14ac:dyDescent="0.25">
      <c r="D157" s="206" t="s">
        <v>47</v>
      </c>
      <c r="E157" s="144">
        <f>SUMIF($C$4:$C$151,21,$G$4:$G$151)</f>
        <v>0.6597222222222221</v>
      </c>
    </row>
    <row r="158" spans="2:8" ht="15" customHeight="1" x14ac:dyDescent="0.25">
      <c r="D158" s="206" t="s">
        <v>48</v>
      </c>
      <c r="E158" s="144">
        <f>SUMIF($C$4:$C$151,22,$G$4:$G$151)</f>
        <v>0</v>
      </c>
    </row>
  </sheetData>
  <mergeCells count="2">
    <mergeCell ref="D1:E1"/>
    <mergeCell ref="B2:H2"/>
  </mergeCells>
  <conditionalFormatting sqref="F1 E152:F152 F3:F4 E159: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51">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60:B1048576 D153:D158 B1:B152"/>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D4:D151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2" tint="-9.9978637043366805E-2"/>
    <pageSetUpPr fitToPage="1"/>
  </sheetPr>
  <dimension ref="B1:D66"/>
  <sheetViews>
    <sheetView showGridLines="0" topLeftCell="A19" zoomScaleNormal="100" workbookViewId="0">
      <selection activeCell="G50" sqref="G50"/>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197" t="s">
        <v>125</v>
      </c>
      <c r="D1" s="196">
        <f ca="1">TODAY()</f>
        <v>44343</v>
      </c>
    </row>
    <row r="2" spans="2:4" ht="29.25" customHeight="1" thickBot="1" x14ac:dyDescent="0.3">
      <c r="B2" s="238" t="s">
        <v>42</v>
      </c>
      <c r="C2" s="238"/>
      <c r="D2" s="238"/>
    </row>
    <row r="3" spans="2:4" s="99" customFormat="1" x14ac:dyDescent="0.25">
      <c r="B3" s="134" t="s">
        <v>37</v>
      </c>
      <c r="C3" s="134" t="s">
        <v>28</v>
      </c>
      <c r="D3" s="105" t="s">
        <v>38</v>
      </c>
    </row>
    <row r="4" spans="2:4" x14ac:dyDescent="0.25">
      <c r="B4" s="139" t="str">
        <f>Base!I4</f>
        <v>101 planification initiale</v>
      </c>
      <c r="C4" s="135">
        <f>SUMIF(Journal!$D$4:$D$151,B4,Journal!$G$4:$G$151)</f>
        <v>3.125E-2</v>
      </c>
      <c r="D4" s="140" t="s">
        <v>103</v>
      </c>
    </row>
    <row r="5" spans="2:4" x14ac:dyDescent="0.25">
      <c r="B5" s="139" t="str">
        <f>Base!I5</f>
        <v>102 objectifs du projet</v>
      </c>
      <c r="C5" s="135">
        <f>SUMIF(Journal!$D$4:$D$151,B5,Journal!$G$4:$G$151)</f>
        <v>1.736111111111116E-2</v>
      </c>
      <c r="D5" s="140" t="s">
        <v>103</v>
      </c>
    </row>
    <row r="6" spans="2:4" x14ac:dyDescent="0.25">
      <c r="B6" s="139" t="str">
        <f>Base!I6</f>
        <v>103 introduction du projet</v>
      </c>
      <c r="C6" s="135">
        <f>SUMIF(Journal!$D$4:$D$151,B6,Journal!$G$4:$G$151)</f>
        <v>1.388888888888884E-2</v>
      </c>
      <c r="D6" s="140" t="s">
        <v>103</v>
      </c>
    </row>
    <row r="7" spans="2:4" x14ac:dyDescent="0.25">
      <c r="B7" s="139" t="str">
        <f>Base!I7</f>
        <v>104 découpage du projet en tâches distinctes</v>
      </c>
      <c r="C7" s="135">
        <f>SUMIF(Journal!$D$4:$D$151,B7,Journal!$G$4:$G$151)</f>
        <v>4.1666666666666685E-2</v>
      </c>
      <c r="D7" s="140" t="s">
        <v>103</v>
      </c>
    </row>
    <row r="8" spans="2:4" x14ac:dyDescent="0.25">
      <c r="B8" s="139" t="str">
        <f>Base!I8</f>
        <v>105 -</v>
      </c>
      <c r="C8" s="135">
        <f>SUMIF(Journal!$D$4:$D$151,B8,Journal!$G$4:$G$151)</f>
        <v>0</v>
      </c>
      <c r="D8" s="140"/>
    </row>
    <row r="9" spans="2:4" x14ac:dyDescent="0.25">
      <c r="B9" s="139" t="str">
        <f>Base!I9</f>
        <v>106 -</v>
      </c>
      <c r="C9" s="135">
        <f>SUMIF(Journal!$D$4:$D$151,B9,Journal!$G$4:$G$151)</f>
        <v>0</v>
      </c>
      <c r="D9" s="140"/>
    </row>
    <row r="10" spans="2:4" x14ac:dyDescent="0.25">
      <c r="B10" s="139" t="str">
        <f>Base!I10</f>
        <v>201 choix de l'architecture</v>
      </c>
      <c r="C10" s="135">
        <f>SUMIF(Journal!$D$4:$D$151,B10,Journal!$G$4:$G$151)</f>
        <v>1.736111111111116E-2</v>
      </c>
      <c r="D10" s="140" t="s">
        <v>103</v>
      </c>
    </row>
    <row r="11" spans="2:4" x14ac:dyDescent="0.25">
      <c r="B11" s="139" t="str">
        <f>Base!I11</f>
        <v>202 modélisation conceptuelle de la BDD</v>
      </c>
      <c r="C11" s="135">
        <f>SUMIF(Journal!$D$4:$D$151,B11,Journal!$G$4:$G$151)</f>
        <v>5.5555555555555525E-2</v>
      </c>
      <c r="D11" s="140" t="s">
        <v>103</v>
      </c>
    </row>
    <row r="12" spans="2:4" x14ac:dyDescent="0.25">
      <c r="B12" s="139" t="str">
        <f>Base!I12</f>
        <v>203 modélisation logique de la BDD</v>
      </c>
      <c r="C12" s="135">
        <f>SUMIF(Journal!$D$4:$D$151,B12,Journal!$G$4:$G$151)</f>
        <v>3.472222222222221E-2</v>
      </c>
      <c r="D12" s="140" t="s">
        <v>103</v>
      </c>
    </row>
    <row r="13" spans="2:4" x14ac:dyDescent="0.25">
      <c r="B13" s="139" t="str">
        <f>Base!I13</f>
        <v>204 maquettes de l'application</v>
      </c>
      <c r="C13" s="135">
        <f>SUMIF(Journal!$D$4:$D$151,B13,Journal!$G$4:$G$151)</f>
        <v>0.10069444444444453</v>
      </c>
      <c r="D13" s="140" t="s">
        <v>103</v>
      </c>
    </row>
    <row r="14" spans="2:4" x14ac:dyDescent="0.25">
      <c r="B14" s="139" t="str">
        <f>Base!I14</f>
        <v>205 diagrammes de flux</v>
      </c>
      <c r="C14" s="135">
        <f>SUMIF(Journal!$D$4:$D$151,B14,Journal!$G$4:$G$151)</f>
        <v>1.3888888888888895E-2</v>
      </c>
      <c r="D14" s="140"/>
    </row>
    <row r="15" spans="2:4" x14ac:dyDescent="0.25">
      <c r="B15" s="139" t="str">
        <f>Base!I15</f>
        <v>206 cas d'utilisation de l'application</v>
      </c>
      <c r="C15" s="135">
        <f>SUMIF(Journal!$D$4:$D$151,B15,Journal!$G$4:$G$151)</f>
        <v>3.1249999999999944E-2</v>
      </c>
      <c r="D15" s="140" t="s">
        <v>103</v>
      </c>
    </row>
    <row r="16" spans="2:4" x14ac:dyDescent="0.25">
      <c r="B16" s="139" t="str">
        <f>Base!I16</f>
        <v>207 scénarios de l'application</v>
      </c>
      <c r="C16" s="135">
        <f>SUMIF(Journal!$D$4:$D$151,B16,Journal!$G$4:$G$151)</f>
        <v>8.3333333333333315E-2</v>
      </c>
      <c r="D16" s="140" t="s">
        <v>103</v>
      </c>
    </row>
    <row r="17" spans="2:4" x14ac:dyDescent="0.25">
      <c r="B17" s="139" t="str">
        <f>Base!I17</f>
        <v>208 diagrammes de classe</v>
      </c>
      <c r="C17" s="135">
        <f>SUMIF(Journal!$D$4:$D$151,B17,Journal!$G$4:$G$151)</f>
        <v>3.1250000000000056E-2</v>
      </c>
      <c r="D17" s="140" t="s">
        <v>103</v>
      </c>
    </row>
    <row r="18" spans="2:4" x14ac:dyDescent="0.25">
      <c r="B18" s="139" t="str">
        <f>Base!I18</f>
        <v>209 schéma de navigation de l'application</v>
      </c>
      <c r="C18" s="135">
        <f>SUMIF(Journal!$D$4:$D$151,B18,Journal!$G$4:$G$151)</f>
        <v>2.430555555555558E-2</v>
      </c>
      <c r="D18" s="140" t="s">
        <v>103</v>
      </c>
    </row>
    <row r="19" spans="2:4" x14ac:dyDescent="0.25">
      <c r="B19" s="139" t="str">
        <f>Base!I19</f>
        <v>210 fonctionnalités du projet</v>
      </c>
      <c r="C19" s="135">
        <f>SUMIF(Journal!$D$4:$D$151,B19,Journal!$G$4:$G$151)</f>
        <v>5.2083333333333315E-2</v>
      </c>
      <c r="D19" s="140" t="s">
        <v>103</v>
      </c>
    </row>
    <row r="20" spans="2:4" x14ac:dyDescent="0.25">
      <c r="B20" s="139" t="str">
        <f>Base!I20</f>
        <v>211 déclaration du cadre du projet</v>
      </c>
      <c r="C20" s="135">
        <f>SUMIF(Journal!$D$4:$D$151,B20,Journal!$G$4:$G$151)</f>
        <v>1.388888888888884E-2</v>
      </c>
      <c r="D20" s="140" t="s">
        <v>103</v>
      </c>
    </row>
    <row r="21" spans="2:4" x14ac:dyDescent="0.25">
      <c r="B21" s="139" t="str">
        <f>Base!I21</f>
        <v>212 risques techniques</v>
      </c>
      <c r="C21" s="135">
        <f>SUMIF(Journal!$D$4:$D$151,B21,Journal!$G$4:$G$151)</f>
        <v>0</v>
      </c>
      <c r="D21" s="140" t="s">
        <v>103</v>
      </c>
    </row>
    <row r="22" spans="2:4" x14ac:dyDescent="0.25">
      <c r="B22" s="139" t="str">
        <f>Base!I22</f>
        <v>213 planification définitive</v>
      </c>
      <c r="C22" s="135">
        <f>SUMIF(Journal!$D$4:$D$151,B22,Journal!$G$4:$G$151)</f>
        <v>1.7361111111111049E-2</v>
      </c>
      <c r="D22" s="140" t="s">
        <v>103</v>
      </c>
    </row>
    <row r="23" spans="2:4" x14ac:dyDescent="0.25">
      <c r="B23" s="139" t="str">
        <f>Base!I23</f>
        <v>214 recherche sur l'impression depuis l'application</v>
      </c>
      <c r="C23" s="135">
        <f>SUMIF(Journal!$D$4:$D$151,B23,Journal!$G$4:$G$151)</f>
        <v>4.1666666666666685E-2</v>
      </c>
      <c r="D23" s="140" t="s">
        <v>103</v>
      </c>
    </row>
    <row r="24" spans="2:4" x14ac:dyDescent="0.25">
      <c r="B24" s="139" t="str">
        <f>Base!I24</f>
        <v>215 matériel hardware et software</v>
      </c>
      <c r="C24" s="135">
        <f>SUMIF(Journal!$D$4:$D$151,B24,Journal!$G$4:$G$151)</f>
        <v>2.083333333333337E-2</v>
      </c>
      <c r="D24" s="140" t="s">
        <v>103</v>
      </c>
    </row>
    <row r="25" spans="2:4" x14ac:dyDescent="0.25">
      <c r="B25" s="139" t="str">
        <f>Base!I25</f>
        <v>216 -</v>
      </c>
      <c r="C25" s="135">
        <f>SUMIF(Journal!$D$4:$D$151,B25,Journal!$G$4:$G$151)</f>
        <v>0</v>
      </c>
      <c r="D25" s="140"/>
    </row>
    <row r="26" spans="2:4" x14ac:dyDescent="0.25">
      <c r="B26" s="139" t="str">
        <f>Base!I26</f>
        <v>300 mise en place de la BDD</v>
      </c>
      <c r="C26" s="135">
        <f>SUMIF(Journal!$D$4:$D$151,B26,Journal!$G$4:$G$151)</f>
        <v>9.3749999999999944E-2</v>
      </c>
      <c r="D26" s="140" t="s">
        <v>103</v>
      </c>
    </row>
    <row r="27" spans="2:4" x14ac:dyDescent="0.25">
      <c r="B27" s="139" t="str">
        <f>Base!I27</f>
        <v>301 réaliser la partie graphique de l'application</v>
      </c>
      <c r="C27" s="135">
        <f>SUMIF(Journal!$D$4:$D$151,B27,Journal!$G$4:$G$151)</f>
        <v>0.11458333333333326</v>
      </c>
      <c r="D27" s="140" t="s">
        <v>103</v>
      </c>
    </row>
    <row r="28" spans="2:4" x14ac:dyDescent="0.25">
      <c r="B28" s="139" t="str">
        <f>Base!I28</f>
        <v>302 mettre en place la connexion à la BDD</v>
      </c>
      <c r="C28" s="135">
        <f>SUMIF(Journal!$D$4:$D$151,B28,Journal!$G$4:$G$151)</f>
        <v>1.7361111111111105E-2</v>
      </c>
      <c r="D28" s="140" t="s">
        <v>103</v>
      </c>
    </row>
    <row r="29" spans="2:4" x14ac:dyDescent="0.25">
      <c r="B29" s="139" t="str">
        <f>Base!I29</f>
        <v>303 mettre en place la classe "bouteille"</v>
      </c>
      <c r="C29" s="135">
        <f>SUMIF(Journal!$D$4:$D$151,B29,Journal!$G$4:$G$151)</f>
        <v>4.5138888888888729E-2</v>
      </c>
      <c r="D29" s="140" t="s">
        <v>103</v>
      </c>
    </row>
    <row r="30" spans="2:4" x14ac:dyDescent="0.25">
      <c r="B30" s="139" t="str">
        <f>Base!I30</f>
        <v>304 mettre en place la classe "casier"</v>
      </c>
      <c r="C30" s="135">
        <f>SUMIF(Journal!$D$4:$D$151,B30,Journal!$G$4:$G$151)</f>
        <v>1.3888888888888895E-2</v>
      </c>
      <c r="D30" s="140" t="s">
        <v>103</v>
      </c>
    </row>
    <row r="31" spans="2:4" x14ac:dyDescent="0.25">
      <c r="B31" s="139" t="str">
        <f>Base!I31</f>
        <v>305 implémenter l'ajout de bouteilles</v>
      </c>
      <c r="C31" s="135">
        <f>SUMIF(Journal!$D$4:$D$151,B31,Journal!$G$4:$G$151)</f>
        <v>0.28125000000000006</v>
      </c>
      <c r="D31" s="140" t="s">
        <v>103</v>
      </c>
    </row>
    <row r="32" spans="2:4" x14ac:dyDescent="0.25">
      <c r="B32" s="139" t="str">
        <f>Base!I32</f>
        <v>306 implémenter le retrait de bouteilles</v>
      </c>
      <c r="C32" s="135">
        <f>SUMIF(Journal!$D$4:$D$151,B32,Journal!$G$4:$G$151)</f>
        <v>8.333333333333337E-2</v>
      </c>
      <c r="D32" s="140" t="s">
        <v>103</v>
      </c>
    </row>
    <row r="33" spans="2:4" x14ac:dyDescent="0.25">
      <c r="B33" s="139" t="str">
        <f>Base!I33</f>
        <v>307 implémenter l'historisation des actions effectuées</v>
      </c>
      <c r="C33" s="135">
        <f>SUMIF(Journal!$D$4:$D$151,B33,Journal!$G$4:$G$151)</f>
        <v>5.2083333333333315E-2</v>
      </c>
      <c r="D33" s="140" t="s">
        <v>103</v>
      </c>
    </row>
    <row r="34" spans="2:4" x14ac:dyDescent="0.25">
      <c r="B34" s="139" t="str">
        <f>Base!I34</f>
        <v>308 implémenter la recherche par mot-clé</v>
      </c>
      <c r="C34" s="135">
        <f>SUMIF(Journal!$D$4:$D$151,B34,Journal!$G$4:$G$151)</f>
        <v>3.819444444444442E-2</v>
      </c>
      <c r="D34" s="140" t="s">
        <v>103</v>
      </c>
    </row>
    <row r="35" spans="2:4" x14ac:dyDescent="0.25">
      <c r="B35" s="139" t="str">
        <f>Base!I35</f>
        <v>309 implémenter la recherche par couleur de robe</v>
      </c>
      <c r="C35" s="135">
        <f>SUMIF(Journal!$D$4:$D$151,B35,Journal!$G$4:$G$151)</f>
        <v>6.9444444444444753E-3</v>
      </c>
      <c r="D35" s="140" t="s">
        <v>103</v>
      </c>
    </row>
    <row r="36" spans="2:4" x14ac:dyDescent="0.25">
      <c r="B36" s="139" t="str">
        <f>Base!I36</f>
        <v>310 implémenter la recherche par cépage</v>
      </c>
      <c r="C36" s="135">
        <f>SUMIF(Journal!$D$4:$D$151,B36,Journal!$G$4:$G$151)</f>
        <v>6.9444444444444198E-3</v>
      </c>
      <c r="D36" s="140" t="s">
        <v>103</v>
      </c>
    </row>
    <row r="37" spans="2:4" x14ac:dyDescent="0.25">
      <c r="B37" s="139" t="str">
        <f>Base!I37</f>
        <v>311 implémenter la recherche par producteur</v>
      </c>
      <c r="C37" s="135">
        <f>SUMIF(Journal!$D$4:$D$151,B37,Journal!$G$4:$G$151)</f>
        <v>6.9444444444444198E-3</v>
      </c>
      <c r="D37" s="140" t="s">
        <v>103</v>
      </c>
    </row>
    <row r="38" spans="2:4" x14ac:dyDescent="0.25">
      <c r="B38" s="139" t="str">
        <f>Base!I38</f>
        <v>312 implémenter la recherche par pays</v>
      </c>
      <c r="C38" s="135">
        <f>SUMIF(Journal!$D$4:$D$151,B38,Journal!$G$4:$G$151)</f>
        <v>3.4722222222222654E-3</v>
      </c>
      <c r="D38" s="140" t="s">
        <v>103</v>
      </c>
    </row>
    <row r="39" spans="2:4" x14ac:dyDescent="0.25">
      <c r="B39" s="139" t="str">
        <f>Base!I39</f>
        <v>313 implémenter l'export d'une liste triée par PDF</v>
      </c>
      <c r="C39" s="135">
        <f>SUMIF(Journal!$D$4:$D$151,B39,Journal!$G$4:$G$151)</f>
        <v>0.11805555555555564</v>
      </c>
      <c r="D39" s="140" t="s">
        <v>103</v>
      </c>
    </row>
    <row r="40" spans="2:4" x14ac:dyDescent="0.25">
      <c r="B40" s="139" t="str">
        <f>Base!I40</f>
        <v>314 implémenter l'ajout de casiers</v>
      </c>
      <c r="C40" s="135">
        <f>SUMIF(Journal!$D$4:$D$151,B40,Journal!$G$4:$G$151)</f>
        <v>2.4305555555555469E-2</v>
      </c>
      <c r="D40" s="140" t="s">
        <v>103</v>
      </c>
    </row>
    <row r="41" spans="2:4" x14ac:dyDescent="0.25">
      <c r="B41" s="139" t="str">
        <f>Base!I41</f>
        <v>315 implémenter le retrait de casiers</v>
      </c>
      <c r="C41" s="135">
        <f>SUMIF(Journal!$D$4:$D$151,B41,Journal!$G$4:$G$151)</f>
        <v>5.2083333333333259E-2</v>
      </c>
      <c r="D41" s="140" t="s">
        <v>103</v>
      </c>
    </row>
    <row r="42" spans="2:4" x14ac:dyDescent="0.25">
      <c r="B42" s="139" t="str">
        <f>Base!I42</f>
        <v>316 implémenter une alerte sur éléments spécifiques</v>
      </c>
      <c r="C42" s="135">
        <f>SUMIF(Journal!$D$4:$D$151,B42,Journal!$G$4:$G$151)</f>
        <v>0.14583333333333354</v>
      </c>
      <c r="D42" s="140" t="s">
        <v>103</v>
      </c>
    </row>
    <row r="43" spans="2:4" x14ac:dyDescent="0.25">
      <c r="B43" s="139" t="str">
        <f>Base!I43</f>
        <v>317 implémenter l'impression d'une liste triée</v>
      </c>
      <c r="C43" s="135">
        <f>SUMIF(Journal!$D$4:$D$151,B43,Journal!$G$4:$G$151)</f>
        <v>1.7361111111111105E-2</v>
      </c>
      <c r="D43" s="140" t="s">
        <v>103</v>
      </c>
    </row>
    <row r="44" spans="2:4" x14ac:dyDescent="0.25">
      <c r="B44" s="139" t="str">
        <f>Base!I44</f>
        <v>318 mettre en place la classe "alerte"</v>
      </c>
      <c r="C44" s="135">
        <f>SUMIF(Journal!$D$4:$D$151,B44,Journal!$G$4:$G$151)</f>
        <v>2.430555555555558E-2</v>
      </c>
      <c r="D44" s="140" t="s">
        <v>103</v>
      </c>
    </row>
    <row r="45" spans="2:4" x14ac:dyDescent="0.25">
      <c r="B45" s="139" t="str">
        <f>Base!I45</f>
        <v>319 mettre en place la classe "logs"</v>
      </c>
      <c r="C45" s="135">
        <f>SUMIF(Journal!$D$4:$D$151,B45,Journal!$G$4:$G$151)</f>
        <v>1.7361111111111105E-2</v>
      </c>
      <c r="D45" s="140" t="s">
        <v>103</v>
      </c>
    </row>
    <row r="46" spans="2:4" x14ac:dyDescent="0.25">
      <c r="B46" s="139" t="str">
        <f>Base!I46</f>
        <v>320 génération des requêtes d'affichage de données</v>
      </c>
      <c r="C46" s="135">
        <f>SUMIF(Journal!$D$4:$D$151,B46,Journal!$G$4:$G$151)</f>
        <v>0.32291666666666657</v>
      </c>
      <c r="D46" s="140" t="s">
        <v>103</v>
      </c>
    </row>
    <row r="47" spans="2:4" x14ac:dyDescent="0.25">
      <c r="B47" s="139" t="str">
        <f>Base!I47</f>
        <v xml:space="preserve">321 - </v>
      </c>
      <c r="C47" s="135">
        <f>SUMIF(Journal!$D$4:$D$151,B47,Journal!$G$4:$G$151)</f>
        <v>0</v>
      </c>
      <c r="D47" s="140"/>
    </row>
    <row r="48" spans="2:4" x14ac:dyDescent="0.25">
      <c r="B48" s="139" t="str">
        <f>Base!I48</f>
        <v xml:space="preserve">322 - </v>
      </c>
      <c r="C48" s="135">
        <f>SUMIF(Journal!$D$4:$D$151,B48,Journal!$G$4:$G$151)</f>
        <v>0</v>
      </c>
      <c r="D48" s="140"/>
    </row>
    <row r="49" spans="2:4" x14ac:dyDescent="0.25">
      <c r="B49" s="139" t="str">
        <f>Base!I49</f>
        <v>401 mise en forme du rapport de projet</v>
      </c>
      <c r="C49" s="135">
        <f>SUMIF(Journal!$D$4:$D$151,B49,Journal!$G$4:$G$151)</f>
        <v>0.37499999999999972</v>
      </c>
      <c r="D49" s="140" t="s">
        <v>99</v>
      </c>
    </row>
    <row r="50" spans="2:4" x14ac:dyDescent="0.25">
      <c r="B50" s="139" t="str">
        <f>Base!I50</f>
        <v>402 journal de travail</v>
      </c>
      <c r="C50" s="135">
        <f>SUMIF(Journal!$D$4:$D$151,B50,Journal!$G$4:$G$151)</f>
        <v>3.1249999999999944E-2</v>
      </c>
      <c r="D50" s="140" t="s">
        <v>99</v>
      </c>
    </row>
    <row r="51" spans="2:4" x14ac:dyDescent="0.25">
      <c r="B51" s="139" t="str">
        <f>Base!I51</f>
        <v>403 procédure d'installation</v>
      </c>
      <c r="C51" s="135">
        <f>SUMIF(Journal!$D$4:$D$151,B51,Journal!$G$4:$G$151)</f>
        <v>6.9444444444444364E-2</v>
      </c>
      <c r="D51" s="140"/>
    </row>
    <row r="52" spans="2:4" x14ac:dyDescent="0.25">
      <c r="B52" s="139" t="str">
        <f>Base!I52</f>
        <v>404 stratégie de test</v>
      </c>
      <c r="C52" s="135">
        <f>SUMIF(Journal!$D$4:$D$151,B52,Journal!$G$4:$G$151)</f>
        <v>0</v>
      </c>
      <c r="D52" s="140" t="s">
        <v>103</v>
      </c>
    </row>
    <row r="53" spans="2:4" x14ac:dyDescent="0.25">
      <c r="B53" s="139" t="str">
        <f>Base!I53</f>
        <v>405 mise en place du GitHub</v>
      </c>
      <c r="C53" s="135">
        <f>SUMIF(Journal!$D$4:$D$151,B53,Journal!$G$4:$G$151)</f>
        <v>2.4305555555555636E-2</v>
      </c>
      <c r="D53" s="140" t="s">
        <v>103</v>
      </c>
    </row>
    <row r="54" spans="2:4" x14ac:dyDescent="0.25">
      <c r="B54" s="139" t="str">
        <f>Base!I54</f>
        <v>406 envoi de l'avancée au CdP et aux experts</v>
      </c>
      <c r="C54" s="135">
        <f>SUMIF(Journal!$D$4:$D$151,B54,Journal!$G$4:$G$151)</f>
        <v>3.4722222222222432E-2</v>
      </c>
      <c r="D54" s="140"/>
    </row>
    <row r="55" spans="2:4" x14ac:dyDescent="0.25">
      <c r="B55" s="139" t="str">
        <f>Base!I55</f>
        <v>501 réalisation des tests unitaires</v>
      </c>
      <c r="C55" s="135">
        <f>SUMIF(Journal!$D$4:$D$151,B55,Journal!$G$4:$G$151)</f>
        <v>0.18749999999999989</v>
      </c>
      <c r="D55" s="140" t="s">
        <v>103</v>
      </c>
    </row>
    <row r="56" spans="2:4" x14ac:dyDescent="0.25">
      <c r="B56" s="139" t="str">
        <f>Base!I56</f>
        <v>502 réalisation des tests d'intégration</v>
      </c>
      <c r="C56" s="135">
        <f>SUMIF(Journal!$D$4:$D$151,B56,Journal!$G$4:$G$151)</f>
        <v>0</v>
      </c>
      <c r="D56" s="140"/>
    </row>
    <row r="57" spans="2:4" x14ac:dyDescent="0.25">
      <c r="B57" s="139" t="str">
        <f>Base!I57</f>
        <v>503 réalisation des tests fonctionnels</v>
      </c>
      <c r="C57" s="135">
        <f>SUMIF(Journal!$D$4:$D$151,B57,Journal!$G$4:$G$151)</f>
        <v>1.3888888888888895E-2</v>
      </c>
      <c r="D57" s="140" t="s">
        <v>103</v>
      </c>
    </row>
    <row r="58" spans="2:4" x14ac:dyDescent="0.25">
      <c r="B58" s="139" t="str">
        <f>Base!I58</f>
        <v>504 mise en forme des résultats des tests</v>
      </c>
      <c r="C58" s="135">
        <f>SUMIF(Journal!$D$4:$D$151,B58,Journal!$G$4:$G$151)</f>
        <v>5.5555555555555525E-2</v>
      </c>
      <c r="D58" s="140" t="s">
        <v>103</v>
      </c>
    </row>
    <row r="59" spans="2:4" x14ac:dyDescent="0.25">
      <c r="B59" s="139" t="str">
        <f>Base!I59</f>
        <v>505 -</v>
      </c>
      <c r="C59" s="135">
        <f>SUMIF(Journal!$D$4:$D$151,B59,Journal!$G$4:$G$151)</f>
        <v>0</v>
      </c>
      <c r="D59" s="140"/>
    </row>
    <row r="60" spans="2:4" x14ac:dyDescent="0.25">
      <c r="B60" s="139" t="str">
        <f>Base!I60</f>
        <v>506 -</v>
      </c>
      <c r="C60" s="135">
        <f>SUMIF(Journal!$D$4:$D$151,B60,Journal!$G$4:$G$151)</f>
        <v>0</v>
      </c>
      <c r="D60" s="140"/>
    </row>
    <row r="61" spans="2:4" x14ac:dyDescent="0.25">
      <c r="B61" s="139" t="str">
        <f>Base!I61</f>
        <v>601 réunion avec monsieur C.Egger, CdP</v>
      </c>
      <c r="C61" s="135">
        <f>SUMIF(Journal!$D$4:$D$151,B61,Journal!$G$4:$G$151)</f>
        <v>2.430555555555558E-2</v>
      </c>
      <c r="D61" s="140"/>
    </row>
    <row r="62" spans="2:4" x14ac:dyDescent="0.25">
      <c r="B62" s="139" t="str">
        <f>Base!I62</f>
        <v>602 réunion avec monsieur G.Gruaz, expert 1</v>
      </c>
      <c r="C62" s="135">
        <f>SUMIF(Journal!$D$4:$D$151,B62,Journal!$G$4:$G$151)</f>
        <v>1.736111111111116E-2</v>
      </c>
      <c r="D62" s="140"/>
    </row>
    <row r="63" spans="2:4" x14ac:dyDescent="0.25">
      <c r="B63" s="139" t="str">
        <f>Base!I63</f>
        <v>603 réunion avec monsieur O.Rutz, expert 2</v>
      </c>
      <c r="C63" s="135">
        <f>SUMIF(Journal!$D$4:$D$151,B63,Journal!$G$4:$G$151)</f>
        <v>1.388888888888884E-2</v>
      </c>
      <c r="D63" s="140"/>
    </row>
    <row r="64" spans="2:4" x14ac:dyDescent="0.25">
      <c r="B64" s="139" t="str">
        <f>Base!I64</f>
        <v>604 réunion avec une personne extérieure</v>
      </c>
      <c r="C64" s="135">
        <f>SUMIF(Journal!$D$4:$D$151,B64,Journal!$G$4:$G$151)</f>
        <v>7.291666666666663E-2</v>
      </c>
      <c r="D64" s="140"/>
    </row>
    <row r="65" spans="2:4" x14ac:dyDescent="0.25">
      <c r="B65" s="139" t="str">
        <f>Base!I65</f>
        <v>605 -</v>
      </c>
      <c r="C65" s="135">
        <f>SUMIF(Journal!$D$4:$D$151,B65,Journal!$G$4:$G$151)</f>
        <v>0</v>
      </c>
      <c r="D65" s="140"/>
    </row>
    <row r="66" spans="2:4" ht="15.75" thickBot="1" x14ac:dyDescent="0.3">
      <c r="B66" s="141" t="str">
        <f>Base!I66</f>
        <v>606 -</v>
      </c>
      <c r="C66" s="136">
        <f>SUMIF(Journal!$D$4:$D$151,B66,Journal!$G$4:$G$151)</f>
        <v>0</v>
      </c>
      <c r="D66" s="142"/>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Base</vt:lpstr>
      <vt:lpstr>Planif initiale</vt:lpstr>
      <vt:lpstr>Planif déf</vt:lpstr>
      <vt:lpstr>Planif finale</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2021-05-20T13:53:41Z</cp:lastPrinted>
  <dcterms:created xsi:type="dcterms:W3CDTF">2015-01-22T08:10:30Z</dcterms:created>
  <dcterms:modified xsi:type="dcterms:W3CDTF">2021-05-27T13:47:17Z</dcterms:modified>
</cp:coreProperties>
</file>