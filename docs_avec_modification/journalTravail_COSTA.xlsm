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3"/>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G114" i="6" l="1"/>
  <c r="BK3" i="1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<sst xmlns="http://schemas.openxmlformats.org/spreadsheetml/2006/main" count="272" uniqueCount="180">
  <si>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</si>
  <si>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</si>
  <si>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</si>
  <si>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</si>
  <si>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</si>
  <si>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</si>
  <si>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</si>
  <si>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</si>
  <si>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</si>
  <si>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</si>
  <si>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</si>
  <si>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</si>
  <si>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</si>
  <si>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</si>
  <si>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</si>
  <si>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</si>
  <si>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</si>
  <si>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</si>
  <si>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</si>
  <si>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</si>
  <si>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</si>
  <si>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320 - </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</si>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</sst>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34" zoomScale="115" zoomScaleNormal="115" workbookViewId="0">
      <selection activeCell="I46" sqref="I46"/>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24</v>
      </c>
      <c r="D3" s="139"/>
      <c r="E3" s="11"/>
      <c r="F3" s="10"/>
      <c r="G3" s="205" t="s">
        <v>11</v>
      </c>
      <c r="H3" s="205"/>
      <c r="I3" s="10" t="s">
        <v>5</v>
      </c>
      <c r="J3" s="10"/>
    </row>
    <row r="4" spans="1:10" x14ac:dyDescent="0.25">
      <c r="A4" s="8"/>
      <c r="B4" s="8"/>
      <c r="C4" s="8"/>
      <c r="D4" s="8"/>
      <c r="E4" s="8"/>
      <c r="F4" s="8"/>
      <c r="G4" s="85">
        <v>1</v>
      </c>
      <c r="H4" s="131" t="str">
        <f>D11</f>
        <v>Analyse</v>
      </c>
      <c r="I4" s="151" t="s">
        <v>54</v>
      </c>
      <c r="J4" s="89"/>
    </row>
    <row r="5" spans="1:10" ht="18.75" x14ac:dyDescent="0.3">
      <c r="A5" s="8"/>
      <c r="B5" s="10" t="s">
        <v>41</v>
      </c>
      <c r="C5" s="10" t="s">
        <v>2</v>
      </c>
      <c r="D5" s="10" t="s">
        <v>3</v>
      </c>
      <c r="E5" s="8"/>
      <c r="F5" s="8"/>
      <c r="G5" s="71"/>
      <c r="H5" s="86"/>
      <c r="I5" s="152" t="s">
        <v>80</v>
      </c>
      <c r="J5" s="89"/>
    </row>
    <row r="6" spans="1:10" x14ac:dyDescent="0.25">
      <c r="A6" s="8"/>
      <c r="B6" s="5">
        <v>44319</v>
      </c>
      <c r="C6" s="6" t="s">
        <v>6</v>
      </c>
      <c r="D6" s="7" t="s">
        <v>7</v>
      </c>
      <c r="E6" s="8"/>
      <c r="F6" s="8"/>
      <c r="G6" s="71"/>
      <c r="H6" s="86"/>
      <c r="I6" s="152" t="s">
        <v>99</v>
      </c>
      <c r="J6" s="89"/>
    </row>
    <row r="7" spans="1:10" ht="18.75" x14ac:dyDescent="0.3">
      <c r="A7" s="8"/>
      <c r="B7" s="10" t="s">
        <v>40</v>
      </c>
      <c r="C7" s="74"/>
      <c r="D7" s="10" t="s">
        <v>28</v>
      </c>
      <c r="E7" s="8"/>
      <c r="F7" s="8"/>
      <c r="G7" s="71"/>
      <c r="H7" s="86"/>
      <c r="I7" s="152" t="s">
        <v>98</v>
      </c>
      <c r="J7" s="89"/>
    </row>
    <row r="8" spans="1:10" x14ac:dyDescent="0.25">
      <c r="A8" s="8"/>
      <c r="B8" s="5">
        <v>44350</v>
      </c>
      <c r="C8" s="74"/>
      <c r="D8" s="134" t="s">
        <v>42</v>
      </c>
      <c r="E8" s="8"/>
      <c r="F8" s="8"/>
      <c r="G8" s="71"/>
      <c r="H8" s="86"/>
      <c r="I8" s="152" t="s">
        <v>100</v>
      </c>
      <c r="J8" s="89"/>
    </row>
    <row r="9" spans="1:10" x14ac:dyDescent="0.25">
      <c r="A9" s="8"/>
      <c r="B9" s="8"/>
      <c r="C9" s="8"/>
      <c r="D9" s="8"/>
      <c r="E9" s="8"/>
      <c r="F9" s="8"/>
      <c r="G9" s="71"/>
      <c r="H9" s="86"/>
      <c r="I9" s="153" t="s">
        <v>78</v>
      </c>
      <c r="J9" s="89"/>
    </row>
    <row r="10" spans="1:10" ht="18.75" x14ac:dyDescent="0.3">
      <c r="A10" s="8"/>
      <c r="B10" s="8"/>
      <c r="C10" s="206" t="s">
        <v>16</v>
      </c>
      <c r="D10" s="206"/>
      <c r="E10" s="8"/>
      <c r="F10" s="8"/>
      <c r="G10" s="85">
        <v>2</v>
      </c>
      <c r="H10" s="131" t="str">
        <f>D12</f>
        <v>Conception</v>
      </c>
      <c r="I10" s="82" t="s">
        <v>55</v>
      </c>
      <c r="J10" s="89"/>
    </row>
    <row r="11" spans="1:10" x14ac:dyDescent="0.25">
      <c r="A11" s="8"/>
      <c r="B11" s="8"/>
      <c r="C11" s="133">
        <v>1</v>
      </c>
      <c r="D11" s="75" t="s">
        <v>17</v>
      </c>
      <c r="E11" s="8"/>
      <c r="F11" s="8"/>
      <c r="G11" s="71"/>
      <c r="H11" s="87"/>
      <c r="I11" s="81" t="s">
        <v>57</v>
      </c>
      <c r="J11" s="89"/>
    </row>
    <row r="12" spans="1:10" x14ac:dyDescent="0.25">
      <c r="A12" s="8"/>
      <c r="B12" s="8"/>
      <c r="C12" s="133">
        <v>2</v>
      </c>
      <c r="D12" s="75" t="s">
        <v>18</v>
      </c>
      <c r="E12" s="8"/>
      <c r="F12" s="8"/>
      <c r="G12" s="71"/>
      <c r="H12" s="87"/>
      <c r="I12" s="81" t="s">
        <v>56</v>
      </c>
      <c r="J12" s="89"/>
    </row>
    <row r="13" spans="1:10" x14ac:dyDescent="0.25">
      <c r="A13" s="8"/>
      <c r="B13" s="8"/>
      <c r="C13" s="77">
        <v>3</v>
      </c>
      <c r="D13" s="76" t="s">
        <v>19</v>
      </c>
      <c r="E13" s="8"/>
      <c r="F13" s="8"/>
      <c r="G13" s="71"/>
      <c r="H13" s="87"/>
      <c r="I13" s="81" t="s">
        <v>58</v>
      </c>
      <c r="J13" s="89"/>
    </row>
    <row r="14" spans="1:10" x14ac:dyDescent="0.25">
      <c r="A14" s="8"/>
      <c r="B14" s="8"/>
      <c r="C14" s="77">
        <v>4</v>
      </c>
      <c r="D14" s="76" t="s">
        <v>20</v>
      </c>
      <c r="E14" s="8"/>
      <c r="F14" s="8"/>
      <c r="G14" s="71"/>
      <c r="H14" s="87"/>
      <c r="I14" s="81" t="s">
        <v>59</v>
      </c>
      <c r="J14" s="89"/>
    </row>
    <row r="15" spans="1:10" x14ac:dyDescent="0.25">
      <c r="A15" s="8"/>
      <c r="B15" s="8"/>
      <c r="C15" s="77">
        <v>5</v>
      </c>
      <c r="D15" s="76" t="s">
        <v>44</v>
      </c>
      <c r="E15" s="8"/>
      <c r="F15" s="8"/>
      <c r="G15" s="71"/>
      <c r="H15" s="87"/>
      <c r="I15" s="81" t="s">
        <v>60</v>
      </c>
      <c r="J15" s="89"/>
    </row>
    <row r="16" spans="1:10" x14ac:dyDescent="0.25">
      <c r="A16" s="8"/>
      <c r="B16" s="8"/>
      <c r="C16" s="77">
        <v>6</v>
      </c>
      <c r="D16" s="76" t="s">
        <v>37</v>
      </c>
      <c r="E16" s="8"/>
      <c r="F16" s="8"/>
      <c r="G16" s="71"/>
      <c r="H16" s="87"/>
      <c r="I16" s="81" t="s">
        <v>61</v>
      </c>
      <c r="J16" s="74"/>
    </row>
    <row r="17" spans="1:10" x14ac:dyDescent="0.25">
      <c r="A17" s="8"/>
      <c r="B17" s="114"/>
      <c r="C17" s="114"/>
      <c r="D17" s="8"/>
      <c r="E17" s="8"/>
      <c r="F17" s="8"/>
      <c r="G17" s="71"/>
      <c r="H17" s="86"/>
      <c r="I17" s="81" t="s">
        <v>62</v>
      </c>
      <c r="J17" s="74"/>
    </row>
    <row r="18" spans="1:10" ht="15.75" x14ac:dyDescent="0.25">
      <c r="A18" s="8"/>
      <c r="B18" s="207" t="s">
        <v>36</v>
      </c>
      <c r="C18" s="207"/>
      <c r="D18" s="118"/>
      <c r="E18" s="108"/>
      <c r="F18" s="8"/>
      <c r="G18" s="71"/>
      <c r="H18" s="84"/>
      <c r="I18" s="3" t="s">
        <v>63</v>
      </c>
      <c r="J18" s="74"/>
    </row>
    <row r="19" spans="1:10" x14ac:dyDescent="0.25">
      <c r="A19" s="8"/>
      <c r="B19" s="119" t="s">
        <v>32</v>
      </c>
      <c r="C19" s="103" t="s">
        <v>30</v>
      </c>
      <c r="D19" s="116"/>
      <c r="E19" s="117"/>
      <c r="F19" s="8"/>
      <c r="G19" s="71"/>
      <c r="H19" s="86"/>
      <c r="I19" s="81" t="s">
        <v>72</v>
      </c>
      <c r="J19" s="74"/>
    </row>
    <row r="20" spans="1:10" x14ac:dyDescent="0.25">
      <c r="A20" s="8"/>
      <c r="B20" s="119" t="s">
        <v>31</v>
      </c>
      <c r="C20" s="120" t="s">
        <v>96</v>
      </c>
      <c r="D20" s="116"/>
      <c r="E20" s="78"/>
      <c r="F20" s="8"/>
      <c r="G20" s="71"/>
      <c r="H20" s="86"/>
      <c r="I20" s="81" t="s">
        <v>79</v>
      </c>
      <c r="J20" s="74"/>
    </row>
    <row r="21" spans="1:10" x14ac:dyDescent="0.25">
      <c r="A21" s="8"/>
      <c r="B21" s="119" t="s">
        <v>33</v>
      </c>
      <c r="C21" s="120" t="s">
        <v>97</v>
      </c>
      <c r="D21" s="116"/>
      <c r="E21" s="78"/>
      <c r="F21" s="8"/>
      <c r="G21" s="71"/>
      <c r="H21" s="87"/>
      <c r="I21" s="81" t="s">
        <v>142</v>
      </c>
      <c r="J21" s="74"/>
    </row>
    <row r="22" spans="1:10" x14ac:dyDescent="0.25">
      <c r="A22" s="8"/>
      <c r="B22" s="119" t="s">
        <v>34</v>
      </c>
      <c r="C22" s="103" t="s">
        <v>151</v>
      </c>
      <c r="D22" s="108"/>
      <c r="E22" s="115"/>
      <c r="F22" s="8"/>
      <c r="G22" s="71"/>
      <c r="H22" s="87"/>
      <c r="I22" s="81" t="s">
        <v>101</v>
      </c>
      <c r="J22" s="74"/>
    </row>
    <row r="23" spans="1:10" ht="15.75" x14ac:dyDescent="0.25">
      <c r="A23" s="8"/>
      <c r="B23" s="119" t="s">
        <v>35</v>
      </c>
      <c r="C23" s="140"/>
      <c r="D23" s="108"/>
      <c r="E23" s="8"/>
      <c r="F23" s="8"/>
      <c r="G23" s="71"/>
      <c r="H23" s="87"/>
      <c r="I23" s="81" t="s">
        <v>112</v>
      </c>
      <c r="J23" s="74"/>
    </row>
    <row r="24" spans="1:10" x14ac:dyDescent="0.25">
      <c r="A24" s="8"/>
      <c r="B24" s="8"/>
      <c r="C24" s="121"/>
      <c r="D24" s="108"/>
      <c r="E24" s="8"/>
      <c r="F24" s="8"/>
      <c r="G24" s="71"/>
      <c r="H24" s="87"/>
      <c r="I24" s="81" t="s">
        <v>146</v>
      </c>
      <c r="J24" s="74"/>
    </row>
    <row r="25" spans="1:10" x14ac:dyDescent="0.25">
      <c r="A25" s="8"/>
      <c r="B25" s="8"/>
      <c r="C25" s="120"/>
      <c r="D25" s="8"/>
      <c r="E25" s="8"/>
      <c r="F25" s="8"/>
      <c r="G25" s="72"/>
      <c r="H25" s="88"/>
      <c r="I25" s="83" t="s">
        <v>25</v>
      </c>
      <c r="J25" s="74"/>
    </row>
    <row r="26" spans="1:10" x14ac:dyDescent="0.25">
      <c r="A26" s="8"/>
      <c r="B26" s="119"/>
      <c r="C26" s="120"/>
      <c r="D26" s="8"/>
      <c r="E26" s="8"/>
      <c r="F26" s="8"/>
      <c r="G26" s="85">
        <v>3</v>
      </c>
      <c r="H26" s="131" t="str">
        <f>D13</f>
        <v>Implémentation</v>
      </c>
      <c r="I26" s="82" t="s">
        <v>75</v>
      </c>
      <c r="J26" s="8"/>
    </row>
    <row r="27" spans="1:10" x14ac:dyDescent="0.25">
      <c r="A27" s="8"/>
      <c r="B27" s="8"/>
      <c r="C27" s="8"/>
      <c r="D27" s="8"/>
      <c r="E27" s="8"/>
      <c r="F27" s="8"/>
      <c r="G27" s="71"/>
      <c r="H27" s="87"/>
      <c r="I27" s="80" t="s">
        <v>76</v>
      </c>
      <c r="J27" s="8"/>
    </row>
    <row r="28" spans="1:10" x14ac:dyDescent="0.25">
      <c r="A28" s="8"/>
      <c r="B28" s="8"/>
      <c r="C28" s="8"/>
      <c r="D28" s="8"/>
      <c r="E28" s="8"/>
      <c r="F28" s="8"/>
      <c r="G28" s="71"/>
      <c r="H28" s="87"/>
      <c r="I28" s="81" t="s">
        <v>81</v>
      </c>
      <c r="J28" s="8"/>
    </row>
    <row r="29" spans="1:10" x14ac:dyDescent="0.25">
      <c r="A29" s="8"/>
      <c r="B29" s="8"/>
      <c r="C29" s="8"/>
      <c r="D29" s="8"/>
      <c r="E29" s="8"/>
      <c r="F29" s="8"/>
      <c r="G29" s="71"/>
      <c r="H29" s="87"/>
      <c r="I29" s="80" t="s">
        <v>82</v>
      </c>
      <c r="J29" s="8"/>
    </row>
    <row r="30" spans="1:10" x14ac:dyDescent="0.25">
      <c r="A30" s="8"/>
      <c r="B30" s="8"/>
      <c r="C30" s="8"/>
      <c r="D30" s="8"/>
      <c r="E30" s="8"/>
      <c r="F30" s="8"/>
      <c r="G30" s="71"/>
      <c r="H30" s="87"/>
      <c r="I30" s="81" t="s">
        <v>83</v>
      </c>
      <c r="J30" s="8"/>
    </row>
    <row r="31" spans="1:10" x14ac:dyDescent="0.25">
      <c r="A31" s="8"/>
      <c r="B31" s="8"/>
      <c r="C31" s="8"/>
      <c r="D31" s="8"/>
      <c r="E31" s="8"/>
      <c r="F31" s="8"/>
      <c r="G31" s="71"/>
      <c r="H31" s="87"/>
      <c r="I31" s="80" t="s">
        <v>84</v>
      </c>
      <c r="J31" s="8"/>
    </row>
    <row r="32" spans="1:10" x14ac:dyDescent="0.25">
      <c r="A32" s="8"/>
      <c r="B32" s="8"/>
      <c r="C32" s="8"/>
      <c r="D32" s="8"/>
      <c r="E32" s="8"/>
      <c r="F32" s="8"/>
      <c r="G32" s="71"/>
      <c r="H32" s="87"/>
      <c r="I32" s="81" t="s">
        <v>85</v>
      </c>
      <c r="J32" s="8"/>
    </row>
    <row r="33" spans="1:10" x14ac:dyDescent="0.25">
      <c r="A33" s="8"/>
      <c r="B33" s="8"/>
      <c r="C33" s="8"/>
      <c r="D33" s="8"/>
      <c r="E33" s="8"/>
      <c r="F33" s="8"/>
      <c r="G33" s="71"/>
      <c r="H33" s="87"/>
      <c r="I33" s="80" t="s">
        <v>86</v>
      </c>
      <c r="J33" s="8"/>
    </row>
    <row r="34" spans="1:10" x14ac:dyDescent="0.25">
      <c r="A34" s="8"/>
      <c r="B34" s="8"/>
      <c r="C34" s="8"/>
      <c r="D34" s="8"/>
      <c r="E34" s="8"/>
      <c r="F34" s="8"/>
      <c r="G34" s="71"/>
      <c r="H34" s="87"/>
      <c r="I34" s="81" t="s">
        <v>87</v>
      </c>
      <c r="J34" s="8"/>
    </row>
    <row r="35" spans="1:10" x14ac:dyDescent="0.25">
      <c r="A35" s="8"/>
      <c r="B35" s="8"/>
      <c r="C35" s="8"/>
      <c r="D35" s="8"/>
      <c r="E35" s="8"/>
      <c r="F35" s="8"/>
      <c r="G35" s="71"/>
      <c r="H35" s="87"/>
      <c r="I35" s="80" t="s">
        <v>88</v>
      </c>
      <c r="J35" s="8"/>
    </row>
    <row r="36" spans="1:10" x14ac:dyDescent="0.25">
      <c r="A36" s="8"/>
      <c r="B36" s="8"/>
      <c r="C36" s="8"/>
      <c r="D36" s="8"/>
      <c r="E36" s="8"/>
      <c r="F36" s="8"/>
      <c r="G36" s="71"/>
      <c r="H36" s="90"/>
      <c r="I36" s="81" t="s">
        <v>89</v>
      </c>
      <c r="J36" s="8"/>
    </row>
    <row r="37" spans="1:10" x14ac:dyDescent="0.25">
      <c r="A37" s="8"/>
      <c r="B37" s="8"/>
      <c r="C37" s="8"/>
      <c r="D37" s="8"/>
      <c r="E37" s="8"/>
      <c r="F37" s="8"/>
      <c r="G37" s="91"/>
      <c r="H37" s="92"/>
      <c r="I37" s="80" t="s">
        <v>137</v>
      </c>
      <c r="J37" s="8"/>
    </row>
    <row r="38" spans="1:10" x14ac:dyDescent="0.25">
      <c r="A38" s="8"/>
      <c r="B38" s="8"/>
      <c r="C38" s="8"/>
      <c r="D38" s="8"/>
      <c r="E38" s="8"/>
      <c r="F38" s="8"/>
      <c r="G38" s="91"/>
      <c r="H38" s="92"/>
      <c r="I38" s="81" t="s">
        <v>90</v>
      </c>
      <c r="J38" s="8"/>
    </row>
    <row r="39" spans="1:10" x14ac:dyDescent="0.25">
      <c r="A39" s="8"/>
      <c r="B39" s="8"/>
      <c r="C39" s="8"/>
      <c r="D39" s="8"/>
      <c r="E39" s="8"/>
      <c r="F39" s="8"/>
      <c r="G39" s="73"/>
      <c r="H39" s="93"/>
      <c r="I39" s="80" t="s">
        <v>91</v>
      </c>
      <c r="J39" s="8"/>
    </row>
    <row r="40" spans="1:10" x14ac:dyDescent="0.25">
      <c r="A40" s="8"/>
      <c r="B40" s="8"/>
      <c r="C40" s="8"/>
      <c r="D40" s="8"/>
      <c r="E40" s="8"/>
      <c r="F40" s="8"/>
      <c r="G40" s="73"/>
      <c r="H40" s="93"/>
      <c r="I40" s="81" t="s">
        <v>92</v>
      </c>
      <c r="J40" s="8"/>
    </row>
    <row r="41" spans="1:10" x14ac:dyDescent="0.25">
      <c r="A41" s="8"/>
      <c r="B41" s="8"/>
      <c r="C41" s="8"/>
      <c r="D41" s="8"/>
      <c r="E41" s="8"/>
      <c r="F41" s="8"/>
      <c r="G41" s="73"/>
      <c r="H41" s="93"/>
      <c r="I41" s="80" t="s">
        <v>93</v>
      </c>
      <c r="J41" s="8"/>
    </row>
    <row r="42" spans="1:10" x14ac:dyDescent="0.25">
      <c r="A42" s="8"/>
      <c r="B42" s="8"/>
      <c r="C42" s="8"/>
      <c r="D42" s="8"/>
      <c r="E42" s="8"/>
      <c r="F42" s="8"/>
      <c r="G42" s="73"/>
      <c r="H42" s="93"/>
      <c r="I42" s="81" t="s">
        <v>94</v>
      </c>
      <c r="J42" s="8"/>
    </row>
    <row r="43" spans="1:10" x14ac:dyDescent="0.25">
      <c r="A43" s="8"/>
      <c r="B43" s="8"/>
      <c r="C43" s="8"/>
      <c r="D43" s="8"/>
      <c r="E43" s="8"/>
      <c r="F43" s="8"/>
      <c r="G43" s="73"/>
      <c r="H43" s="93"/>
      <c r="I43" s="80" t="s">
        <v>95</v>
      </c>
      <c r="J43" s="8"/>
    </row>
    <row r="44" spans="1:10" x14ac:dyDescent="0.25">
      <c r="A44" s="8"/>
      <c r="B44" s="8"/>
      <c r="C44" s="8"/>
      <c r="D44" s="8"/>
      <c r="E44" s="8"/>
      <c r="F44" s="8"/>
      <c r="G44" s="73"/>
      <c r="H44" s="93"/>
      <c r="I44" s="81" t="s">
        <v>164</v>
      </c>
      <c r="J44" s="8"/>
    </row>
    <row r="45" spans="1:10" x14ac:dyDescent="0.25">
      <c r="A45" s="8"/>
      <c r="B45" s="8"/>
      <c r="C45" s="8"/>
      <c r="D45" s="8"/>
      <c r="E45" s="8"/>
      <c r="F45" s="8"/>
      <c r="G45" s="73"/>
      <c r="H45" s="93"/>
      <c r="I45" s="80" t="s">
        <v>165</v>
      </c>
      <c r="J45" s="8"/>
    </row>
    <row r="46" spans="1:10" x14ac:dyDescent="0.25">
      <c r="A46" s="8"/>
      <c r="B46" s="8"/>
      <c r="C46" s="8"/>
      <c r="D46" s="8"/>
      <c r="E46" s="8"/>
      <c r="F46" s="8"/>
      <c r="G46" s="73"/>
      <c r="H46" s="93"/>
      <c r="I46" s="81" t="s">
        <v>21</v>
      </c>
      <c r="J46" s="8"/>
    </row>
    <row r="47" spans="1:10" x14ac:dyDescent="0.25">
      <c r="A47" s="8"/>
      <c r="B47" s="8"/>
      <c r="C47" s="8"/>
      <c r="D47" s="8"/>
      <c r="E47" s="8"/>
      <c r="F47" s="8"/>
      <c r="G47" s="73"/>
      <c r="H47" s="93"/>
      <c r="I47" s="80" t="s">
        <v>22</v>
      </c>
      <c r="J47" s="8"/>
    </row>
    <row r="48" spans="1:10" x14ac:dyDescent="0.25">
      <c r="A48" s="8"/>
      <c r="B48" s="8"/>
      <c r="C48" s="8"/>
      <c r="D48" s="8"/>
      <c r="E48" s="8"/>
      <c r="F48" s="8"/>
      <c r="G48" s="94"/>
      <c r="H48" s="95"/>
      <c r="I48" s="83" t="s">
        <v>23</v>
      </c>
      <c r="J48" s="8"/>
    </row>
    <row r="49" spans="1:10" x14ac:dyDescent="0.25">
      <c r="A49" s="8"/>
      <c r="B49" s="8"/>
      <c r="C49" s="8"/>
      <c r="D49" s="8"/>
      <c r="E49" s="8"/>
      <c r="F49" s="8"/>
      <c r="G49" s="85">
        <v>4</v>
      </c>
      <c r="H49" s="131" t="str">
        <f>D14</f>
        <v>Documentation</v>
      </c>
      <c r="I49" s="2" t="s">
        <v>102</v>
      </c>
      <c r="J49" s="8"/>
    </row>
    <row r="50" spans="1:10" x14ac:dyDescent="0.25">
      <c r="A50" s="8"/>
      <c r="B50" s="8"/>
      <c r="C50" s="8"/>
      <c r="D50" s="8"/>
      <c r="E50" s="8"/>
      <c r="F50" s="8"/>
      <c r="G50" s="71"/>
      <c r="H50" s="87"/>
      <c r="I50" s="3" t="s">
        <v>51</v>
      </c>
      <c r="J50" s="8"/>
    </row>
    <row r="51" spans="1:10" x14ac:dyDescent="0.25">
      <c r="A51" s="8"/>
      <c r="B51" s="8"/>
      <c r="C51" s="8"/>
      <c r="D51" s="8"/>
      <c r="E51" s="8"/>
      <c r="F51" s="8"/>
      <c r="G51" s="71"/>
      <c r="H51" s="87"/>
      <c r="I51" s="3" t="s">
        <v>52</v>
      </c>
      <c r="J51" s="8"/>
    </row>
    <row r="52" spans="1:10" x14ac:dyDescent="0.25">
      <c r="A52" s="8"/>
      <c r="B52" s="8"/>
      <c r="C52" s="8"/>
      <c r="D52" s="8"/>
      <c r="E52" s="8"/>
      <c r="F52" s="8"/>
      <c r="G52" s="71"/>
      <c r="H52" s="87"/>
      <c r="I52" s="3" t="s">
        <v>135</v>
      </c>
      <c r="J52" s="8"/>
    </row>
    <row r="53" spans="1:10" x14ac:dyDescent="0.25">
      <c r="A53" s="8"/>
      <c r="B53" s="8"/>
      <c r="C53" s="8"/>
      <c r="D53" s="8"/>
      <c r="E53" s="8"/>
      <c r="F53" s="8"/>
      <c r="G53" s="71"/>
      <c r="H53" s="87"/>
      <c r="I53" s="3" t="s">
        <v>77</v>
      </c>
      <c r="J53" s="8"/>
    </row>
    <row r="54" spans="1:10" x14ac:dyDescent="0.25">
      <c r="A54" s="8"/>
      <c r="B54" s="8"/>
      <c r="C54" s="8"/>
      <c r="D54" s="8"/>
      <c r="E54" s="8"/>
      <c r="F54" s="8"/>
      <c r="G54" s="72"/>
      <c r="H54" s="88"/>
      <c r="I54" s="4" t="s">
        <v>104</v>
      </c>
      <c r="J54" s="8"/>
    </row>
    <row r="55" spans="1:10" x14ac:dyDescent="0.25">
      <c r="A55" s="8"/>
      <c r="B55" s="8"/>
      <c r="C55" s="8"/>
      <c r="D55" s="8"/>
      <c r="E55" s="8"/>
      <c r="F55" s="8"/>
      <c r="G55" s="85">
        <v>5</v>
      </c>
      <c r="H55" s="131" t="str">
        <f>D15</f>
        <v>Test</v>
      </c>
      <c r="I55" s="82" t="s">
        <v>68</v>
      </c>
      <c r="J55" s="8"/>
    </row>
    <row r="56" spans="1:10" x14ac:dyDescent="0.25">
      <c r="A56" s="8"/>
      <c r="B56" s="8"/>
      <c r="C56" s="8"/>
      <c r="D56" s="8"/>
      <c r="E56" s="8"/>
      <c r="F56" s="8"/>
      <c r="G56" s="71"/>
      <c r="H56" s="87"/>
      <c r="I56" s="81" t="s">
        <v>69</v>
      </c>
      <c r="J56" s="8"/>
    </row>
    <row r="57" spans="1:10" x14ac:dyDescent="0.25">
      <c r="A57" s="8"/>
      <c r="B57" s="8"/>
      <c r="C57" s="8"/>
      <c r="D57" s="8"/>
      <c r="E57" s="8"/>
      <c r="F57" s="8"/>
      <c r="G57" s="71"/>
      <c r="H57" s="87"/>
      <c r="I57" s="81" t="s">
        <v>70</v>
      </c>
      <c r="J57" s="8"/>
    </row>
    <row r="58" spans="1:10" x14ac:dyDescent="0.25">
      <c r="A58" s="8"/>
      <c r="B58" s="8"/>
      <c r="C58" s="8"/>
      <c r="D58" s="8"/>
      <c r="E58" s="8"/>
      <c r="F58" s="8"/>
      <c r="G58" s="71"/>
      <c r="H58" s="87"/>
      <c r="I58" s="81" t="s">
        <v>71</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64</v>
      </c>
      <c r="J61" s="8"/>
    </row>
    <row r="62" spans="1:10" x14ac:dyDescent="0.25">
      <c r="A62" s="8"/>
      <c r="B62" s="8"/>
      <c r="C62" s="8"/>
      <c r="D62" s="8"/>
      <c r="E62" s="8"/>
      <c r="F62" s="8"/>
      <c r="G62" s="71"/>
      <c r="H62" s="87"/>
      <c r="I62" s="81" t="s">
        <v>65</v>
      </c>
      <c r="J62" s="8"/>
    </row>
    <row r="63" spans="1:10" x14ac:dyDescent="0.25">
      <c r="A63" s="8"/>
      <c r="B63" s="8"/>
      <c r="C63" s="8"/>
      <c r="D63" s="8"/>
      <c r="E63" s="8"/>
      <c r="F63" s="8"/>
      <c r="G63" s="71"/>
      <c r="H63" s="87"/>
      <c r="I63" s="81" t="s">
        <v>66</v>
      </c>
      <c r="J63" s="8"/>
    </row>
    <row r="64" spans="1:10" x14ac:dyDescent="0.25">
      <c r="A64" s="8"/>
      <c r="B64" s="8"/>
      <c r="C64" s="8"/>
      <c r="D64" s="8"/>
      <c r="E64" s="8"/>
      <c r="F64" s="8"/>
      <c r="G64" s="71"/>
      <c r="H64" s="87"/>
      <c r="I64" s="81" t="s">
        <v>67</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2" zoomScale="70" zoomScaleNormal="70" zoomScaleSheetLayoutView="70" zoomScalePageLayoutView="70" workbookViewId="0">
      <selection activeCell="AM38" sqref="AM3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44326</v>
      </c>
    </row>
    <row r="2" spans="2:129" ht="60.75" customHeight="1" thickBot="1" x14ac:dyDescent="0.3">
      <c r="B2" s="208" t="s">
        <v>120</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10"/>
    </row>
    <row r="3" spans="2:129" s="100" customFormat="1" ht="62.25" customHeight="1" x14ac:dyDescent="0.5">
      <c r="B3" s="196"/>
      <c r="C3" s="218">
        <f>Base!B6</f>
        <v>44319</v>
      </c>
      <c r="D3" s="215"/>
      <c r="E3" s="215"/>
      <c r="F3" s="215"/>
      <c r="G3" s="215"/>
      <c r="H3" s="215"/>
      <c r="I3" s="215"/>
      <c r="J3" s="217"/>
      <c r="K3" s="214">
        <f>C3+1</f>
        <v>44320</v>
      </c>
      <c r="L3" s="215"/>
      <c r="M3" s="215"/>
      <c r="N3" s="215"/>
      <c r="O3" s="217"/>
      <c r="P3" s="214">
        <f>K3+1</f>
        <v>44321</v>
      </c>
      <c r="Q3" s="215"/>
      <c r="R3" s="215"/>
      <c r="S3" s="215"/>
      <c r="T3" s="215"/>
      <c r="U3" s="215"/>
      <c r="V3" s="215"/>
      <c r="W3" s="215"/>
      <c r="X3" s="217"/>
      <c r="Y3" s="214">
        <f>P3+1</f>
        <v>44322</v>
      </c>
      <c r="Z3" s="215"/>
      <c r="AA3" s="215"/>
      <c r="AB3" s="215"/>
      <c r="AC3" s="215"/>
      <c r="AD3" s="215"/>
      <c r="AE3" s="215"/>
      <c r="AF3" s="217"/>
      <c r="AG3" s="218">
        <v>44326</v>
      </c>
      <c r="AH3" s="215"/>
      <c r="AI3" s="215"/>
      <c r="AJ3" s="215"/>
      <c r="AK3" s="215"/>
      <c r="AL3" s="215"/>
      <c r="AM3" s="215"/>
      <c r="AN3" s="217"/>
      <c r="AO3" s="214">
        <f>AG3+1</f>
        <v>44327</v>
      </c>
      <c r="AP3" s="215"/>
      <c r="AQ3" s="215"/>
      <c r="AR3" s="215"/>
      <c r="AS3" s="217"/>
      <c r="AT3" s="214">
        <f>AO3+1</f>
        <v>44328</v>
      </c>
      <c r="AU3" s="215"/>
      <c r="AV3" s="215"/>
      <c r="AW3" s="215"/>
      <c r="AX3" s="215"/>
      <c r="AY3" s="215"/>
      <c r="AZ3" s="215"/>
      <c r="BA3" s="215"/>
      <c r="BB3" s="217"/>
      <c r="BC3" s="218">
        <f>AT3+5</f>
        <v>44333</v>
      </c>
      <c r="BD3" s="215"/>
      <c r="BE3" s="215"/>
      <c r="BF3" s="215"/>
      <c r="BG3" s="215"/>
      <c r="BH3" s="215"/>
      <c r="BI3" s="215"/>
      <c r="BJ3" s="217"/>
      <c r="BK3" s="214">
        <f>BC3+1</f>
        <v>44334</v>
      </c>
      <c r="BL3" s="215"/>
      <c r="BM3" s="215"/>
      <c r="BN3" s="215"/>
      <c r="BO3" s="217"/>
      <c r="BP3" s="214">
        <f>BK3+1</f>
        <v>44335</v>
      </c>
      <c r="BQ3" s="215"/>
      <c r="BR3" s="215"/>
      <c r="BS3" s="215"/>
      <c r="BT3" s="215"/>
      <c r="BU3" s="215"/>
      <c r="BV3" s="215"/>
      <c r="BW3" s="215"/>
      <c r="BX3" s="217"/>
      <c r="BY3" s="214">
        <f>BP3+1</f>
        <v>44336</v>
      </c>
      <c r="BZ3" s="215"/>
      <c r="CA3" s="215"/>
      <c r="CB3" s="215"/>
      <c r="CC3" s="215"/>
      <c r="CD3" s="215"/>
      <c r="CE3" s="215"/>
      <c r="CF3" s="217"/>
      <c r="CG3" s="214">
        <f>BY3+5</f>
        <v>44341</v>
      </c>
      <c r="CH3" s="215"/>
      <c r="CI3" s="215"/>
      <c r="CJ3" s="215"/>
      <c r="CK3" s="217"/>
      <c r="CL3" s="214">
        <f>CG3+1</f>
        <v>44342</v>
      </c>
      <c r="CM3" s="215"/>
      <c r="CN3" s="215"/>
      <c r="CO3" s="215"/>
      <c r="CP3" s="215"/>
      <c r="CQ3" s="215"/>
      <c r="CR3" s="215"/>
      <c r="CS3" s="215"/>
      <c r="CT3" s="217"/>
      <c r="CU3" s="214">
        <f>CL3+1</f>
        <v>44343</v>
      </c>
      <c r="CV3" s="215"/>
      <c r="CW3" s="215"/>
      <c r="CX3" s="215"/>
      <c r="CY3" s="215"/>
      <c r="CZ3" s="215"/>
      <c r="DA3" s="215"/>
      <c r="DB3" s="217"/>
      <c r="DC3" s="218">
        <f>CU3+4</f>
        <v>44347</v>
      </c>
      <c r="DD3" s="215"/>
      <c r="DE3" s="215"/>
      <c r="DF3" s="215"/>
      <c r="DG3" s="215"/>
      <c r="DH3" s="215"/>
      <c r="DI3" s="215"/>
      <c r="DJ3" s="217"/>
      <c r="DK3" s="214">
        <f>DC3+1</f>
        <v>44348</v>
      </c>
      <c r="DL3" s="215"/>
      <c r="DM3" s="215"/>
      <c r="DN3" s="215"/>
      <c r="DO3" s="217"/>
      <c r="DP3" s="214">
        <f>DK3+1</f>
        <v>44349</v>
      </c>
      <c r="DQ3" s="215"/>
      <c r="DR3" s="215"/>
      <c r="DS3" s="216"/>
      <c r="DT3" s="195"/>
      <c r="DU3" s="195"/>
      <c r="DV3" s="195"/>
      <c r="DW3" s="195"/>
      <c r="DX3" s="195"/>
      <c r="DY3" s="195"/>
    </row>
    <row r="4" spans="2:129" s="15" customFormat="1" ht="19.5" thickBot="1" x14ac:dyDescent="0.3">
      <c r="B4" s="70" t="s">
        <v>8</v>
      </c>
      <c r="C4" s="219">
        <f>_xlfn.ISOWEEKNUM(C3)</f>
        <v>18</v>
      </c>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20">
        <f>_xlfn.ISOWEEKNUM(AG3)</f>
        <v>19</v>
      </c>
      <c r="AH4" s="219"/>
      <c r="AI4" s="219"/>
      <c r="AJ4" s="219"/>
      <c r="AK4" s="219"/>
      <c r="AL4" s="219"/>
      <c r="AM4" s="219"/>
      <c r="AN4" s="219"/>
      <c r="AO4" s="219"/>
      <c r="AP4" s="219"/>
      <c r="AQ4" s="219"/>
      <c r="AR4" s="219"/>
      <c r="AS4" s="219"/>
      <c r="AT4" s="219"/>
      <c r="AU4" s="219"/>
      <c r="AV4" s="219"/>
      <c r="AW4" s="219"/>
      <c r="AX4" s="219"/>
      <c r="AY4" s="219"/>
      <c r="AZ4" s="219"/>
      <c r="BA4" s="219"/>
      <c r="BB4" s="219"/>
      <c r="BC4" s="219">
        <f>_xlfn.ISOWEEKNUM(BC3)</f>
        <v>20</v>
      </c>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20">
        <f>_xlfn.ISOWEEKNUM(DC3)</f>
        <v>22</v>
      </c>
      <c r="DD4" s="219"/>
      <c r="DE4" s="219"/>
      <c r="DF4" s="219"/>
      <c r="DG4" s="219"/>
      <c r="DH4" s="219"/>
      <c r="DI4" s="219"/>
      <c r="DJ4" s="219"/>
      <c r="DK4" s="219"/>
      <c r="DL4" s="219"/>
      <c r="DM4" s="219"/>
      <c r="DN4" s="219"/>
      <c r="DO4" s="219"/>
      <c r="DP4" s="219"/>
      <c r="DQ4" s="219"/>
      <c r="DR4" s="219"/>
      <c r="DS4" s="221"/>
      <c r="DT4" s="16"/>
      <c r="DU4" s="16"/>
      <c r="DV4" s="16"/>
      <c r="DW4" s="16"/>
      <c r="DX4" s="16"/>
      <c r="DY4" s="16"/>
    </row>
    <row r="5" spans="2:129" s="13" customFormat="1" ht="15.75" customHeight="1" x14ac:dyDescent="0.25">
      <c r="B5" s="22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2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1" t="s">
        <v>73</v>
      </c>
      <c r="H81" s="211"/>
      <c r="I81" s="211"/>
      <c r="J81" s="211"/>
      <c r="K81" s="211"/>
      <c r="L81" s="211"/>
      <c r="M81" s="211"/>
      <c r="N81" s="211"/>
      <c r="O81" s="211"/>
      <c r="P81" s="211"/>
      <c r="Q81" s="211"/>
      <c r="R81" s="211"/>
      <c r="S81" s="211"/>
      <c r="T81" s="211"/>
      <c r="U81" s="211"/>
      <c r="V81" s="211"/>
      <c r="W81" s="211"/>
      <c r="X81" s="211"/>
      <c r="Y81" s="211"/>
      <c r="Z81" s="211"/>
      <c r="AA81" s="211"/>
      <c r="AB81" s="211"/>
      <c r="AC81" s="211"/>
      <c r="AD81" s="211"/>
      <c r="AE81" s="211"/>
      <c r="AF81" s="211"/>
      <c r="DT81" s="33"/>
      <c r="DU81" s="33"/>
    </row>
    <row r="82" spans="3:125" x14ac:dyDescent="0.25">
      <c r="DT82" s="33"/>
      <c r="DU82" s="33"/>
    </row>
    <row r="83" spans="3:125" x14ac:dyDescent="0.25">
      <c r="D83" s="150"/>
      <c r="G83" s="211" t="s">
        <v>74</v>
      </c>
      <c r="H83" s="211"/>
      <c r="I83" s="211"/>
      <c r="J83" s="211"/>
      <c r="K83" s="211"/>
      <c r="L83" s="211"/>
      <c r="M83" s="211"/>
      <c r="N83" s="211"/>
      <c r="O83" s="211"/>
      <c r="P83" s="211"/>
      <c r="Q83" s="211"/>
      <c r="R83" s="211"/>
      <c r="S83" s="211"/>
      <c r="T83" s="211"/>
      <c r="U83" s="211"/>
      <c r="V83" s="211"/>
      <c r="W83" s="211"/>
      <c r="X83" s="211"/>
      <c r="Y83" s="211"/>
      <c r="Z83" s="211"/>
      <c r="AA83" s="211"/>
      <c r="AB83" s="211"/>
      <c r="AC83" s="211"/>
      <c r="AD83" s="211"/>
      <c r="AE83" s="211"/>
      <c r="AF83" s="21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16" zoomScale="70" zoomScaleNormal="70" zoomScaleSheetLayoutView="70" zoomScalePageLayoutView="70" workbookViewId="0">
      <selection activeCell="AS1" sqref="AS1:AS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44326</v>
      </c>
    </row>
    <row r="2" spans="2:129" ht="60.75" customHeight="1" thickBot="1" x14ac:dyDescent="0.3">
      <c r="B2" s="208" t="s">
        <v>162</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10"/>
    </row>
    <row r="3" spans="2:129" s="100" customFormat="1" ht="62.25" customHeight="1" x14ac:dyDescent="0.5">
      <c r="B3" s="196"/>
      <c r="C3" s="218">
        <f>Base!B6</f>
        <v>44319</v>
      </c>
      <c r="D3" s="215"/>
      <c r="E3" s="215"/>
      <c r="F3" s="215"/>
      <c r="G3" s="215"/>
      <c r="H3" s="215"/>
      <c r="I3" s="215"/>
      <c r="J3" s="217"/>
      <c r="K3" s="214">
        <f>C3+1</f>
        <v>44320</v>
      </c>
      <c r="L3" s="215"/>
      <c r="M3" s="215"/>
      <c r="N3" s="215"/>
      <c r="O3" s="217"/>
      <c r="P3" s="214">
        <f>K3+1</f>
        <v>44321</v>
      </c>
      <c r="Q3" s="215"/>
      <c r="R3" s="215"/>
      <c r="S3" s="215"/>
      <c r="T3" s="215"/>
      <c r="U3" s="215"/>
      <c r="V3" s="215"/>
      <c r="W3" s="215"/>
      <c r="X3" s="217"/>
      <c r="Y3" s="214">
        <f>P3+1</f>
        <v>44322</v>
      </c>
      <c r="Z3" s="215"/>
      <c r="AA3" s="215"/>
      <c r="AB3" s="215"/>
      <c r="AC3" s="215"/>
      <c r="AD3" s="215"/>
      <c r="AE3" s="215"/>
      <c r="AF3" s="217"/>
      <c r="AG3" s="218">
        <v>44326</v>
      </c>
      <c r="AH3" s="215"/>
      <c r="AI3" s="215"/>
      <c r="AJ3" s="215"/>
      <c r="AK3" s="215"/>
      <c r="AL3" s="215"/>
      <c r="AM3" s="215"/>
      <c r="AN3" s="217"/>
      <c r="AO3" s="214">
        <f>AG3+1</f>
        <v>44327</v>
      </c>
      <c r="AP3" s="215"/>
      <c r="AQ3" s="215"/>
      <c r="AR3" s="215"/>
      <c r="AS3" s="217"/>
      <c r="AT3" s="214">
        <f>AO3+1</f>
        <v>44328</v>
      </c>
      <c r="AU3" s="215"/>
      <c r="AV3" s="215"/>
      <c r="AW3" s="215"/>
      <c r="AX3" s="215"/>
      <c r="AY3" s="215"/>
      <c r="AZ3" s="215"/>
      <c r="BA3" s="215"/>
      <c r="BB3" s="217"/>
      <c r="BC3" s="218">
        <f>AT3+5</f>
        <v>44333</v>
      </c>
      <c r="BD3" s="215"/>
      <c r="BE3" s="215"/>
      <c r="BF3" s="215"/>
      <c r="BG3" s="215"/>
      <c r="BH3" s="215"/>
      <c r="BI3" s="215"/>
      <c r="BJ3" s="217"/>
      <c r="BK3" s="214">
        <f>BC3+1</f>
        <v>44334</v>
      </c>
      <c r="BL3" s="215"/>
      <c r="BM3" s="215"/>
      <c r="BN3" s="215"/>
      <c r="BO3" s="217"/>
      <c r="BP3" s="214">
        <f>BK3+1</f>
        <v>44335</v>
      </c>
      <c r="BQ3" s="215"/>
      <c r="BR3" s="215"/>
      <c r="BS3" s="215"/>
      <c r="BT3" s="215"/>
      <c r="BU3" s="215"/>
      <c r="BV3" s="215"/>
      <c r="BW3" s="215"/>
      <c r="BX3" s="217"/>
      <c r="BY3" s="214">
        <f>BP3+1</f>
        <v>44336</v>
      </c>
      <c r="BZ3" s="215"/>
      <c r="CA3" s="215"/>
      <c r="CB3" s="215"/>
      <c r="CC3" s="215"/>
      <c r="CD3" s="215"/>
      <c r="CE3" s="215"/>
      <c r="CF3" s="217"/>
      <c r="CG3" s="214">
        <f>BY3+5</f>
        <v>44341</v>
      </c>
      <c r="CH3" s="215"/>
      <c r="CI3" s="215"/>
      <c r="CJ3" s="215"/>
      <c r="CK3" s="217"/>
      <c r="CL3" s="214">
        <f>CG3+1</f>
        <v>44342</v>
      </c>
      <c r="CM3" s="215"/>
      <c r="CN3" s="215"/>
      <c r="CO3" s="215"/>
      <c r="CP3" s="215"/>
      <c r="CQ3" s="215"/>
      <c r="CR3" s="215"/>
      <c r="CS3" s="215"/>
      <c r="CT3" s="217"/>
      <c r="CU3" s="214">
        <f>CL3+1</f>
        <v>44343</v>
      </c>
      <c r="CV3" s="215"/>
      <c r="CW3" s="215"/>
      <c r="CX3" s="215"/>
      <c r="CY3" s="215"/>
      <c r="CZ3" s="215"/>
      <c r="DA3" s="215"/>
      <c r="DB3" s="217"/>
      <c r="DC3" s="218">
        <f>CU3+4</f>
        <v>44347</v>
      </c>
      <c r="DD3" s="215"/>
      <c r="DE3" s="215"/>
      <c r="DF3" s="215"/>
      <c r="DG3" s="215"/>
      <c r="DH3" s="215"/>
      <c r="DI3" s="215"/>
      <c r="DJ3" s="217"/>
      <c r="DK3" s="214">
        <f>DC3+1</f>
        <v>44348</v>
      </c>
      <c r="DL3" s="215"/>
      <c r="DM3" s="215"/>
      <c r="DN3" s="215"/>
      <c r="DO3" s="217"/>
      <c r="DP3" s="214">
        <f>DK3+1</f>
        <v>44349</v>
      </c>
      <c r="DQ3" s="215"/>
      <c r="DR3" s="215"/>
      <c r="DS3" s="216"/>
      <c r="DT3" s="195"/>
      <c r="DU3" s="195"/>
      <c r="DV3" s="195"/>
      <c r="DW3" s="195"/>
      <c r="DX3" s="195"/>
      <c r="DY3" s="195"/>
    </row>
    <row r="4" spans="2:129" s="15" customFormat="1" ht="19.5" thickBot="1" x14ac:dyDescent="0.3">
      <c r="B4" s="70" t="s">
        <v>8</v>
      </c>
      <c r="C4" s="219">
        <f>_xlfn.ISOWEEKNUM(C3)</f>
        <v>18</v>
      </c>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20">
        <f>_xlfn.ISOWEEKNUM(AG3)</f>
        <v>19</v>
      </c>
      <c r="AH4" s="219"/>
      <c r="AI4" s="219"/>
      <c r="AJ4" s="219"/>
      <c r="AK4" s="219"/>
      <c r="AL4" s="219"/>
      <c r="AM4" s="219"/>
      <c r="AN4" s="219"/>
      <c r="AO4" s="219"/>
      <c r="AP4" s="219"/>
      <c r="AQ4" s="219"/>
      <c r="AR4" s="219"/>
      <c r="AS4" s="219"/>
      <c r="AT4" s="219"/>
      <c r="AU4" s="219"/>
      <c r="AV4" s="219"/>
      <c r="AW4" s="219"/>
      <c r="AX4" s="219"/>
      <c r="AY4" s="219"/>
      <c r="AZ4" s="219"/>
      <c r="BA4" s="219"/>
      <c r="BB4" s="219"/>
      <c r="BC4" s="219">
        <f>_xlfn.ISOWEEKNUM(BC3)</f>
        <v>20</v>
      </c>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20">
        <f>_xlfn.ISOWEEKNUM(DC3)</f>
        <v>22</v>
      </c>
      <c r="DD4" s="219"/>
      <c r="DE4" s="219"/>
      <c r="DF4" s="219"/>
      <c r="DG4" s="219"/>
      <c r="DH4" s="219"/>
      <c r="DI4" s="219"/>
      <c r="DJ4" s="219"/>
      <c r="DK4" s="219"/>
      <c r="DL4" s="219"/>
      <c r="DM4" s="219"/>
      <c r="DN4" s="219"/>
      <c r="DO4" s="219"/>
      <c r="DP4" s="219"/>
      <c r="DQ4" s="219"/>
      <c r="DR4" s="219"/>
      <c r="DS4" s="221"/>
      <c r="DT4" s="16"/>
      <c r="DU4" s="16"/>
      <c r="DV4" s="16"/>
      <c r="DW4" s="16"/>
      <c r="DX4" s="16"/>
      <c r="DY4" s="16"/>
    </row>
    <row r="5" spans="2:129" s="13" customFormat="1" ht="15.75" customHeight="1" x14ac:dyDescent="0.25">
      <c r="B5" s="22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2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1" t="s">
        <v>73</v>
      </c>
      <c r="H81" s="211"/>
      <c r="I81" s="211"/>
      <c r="J81" s="211"/>
      <c r="K81" s="211"/>
      <c r="L81" s="211"/>
      <c r="M81" s="211"/>
      <c r="N81" s="211"/>
      <c r="O81" s="211"/>
      <c r="P81" s="211"/>
      <c r="Q81" s="211"/>
      <c r="R81" s="211"/>
      <c r="S81" s="211"/>
      <c r="T81" s="211"/>
      <c r="U81" s="211"/>
      <c r="V81" s="211"/>
      <c r="W81" s="211"/>
      <c r="X81" s="211"/>
      <c r="Y81" s="211"/>
      <c r="Z81" s="211"/>
      <c r="AA81" s="211"/>
      <c r="AB81" s="211"/>
      <c r="AC81" s="211"/>
      <c r="AD81" s="211"/>
      <c r="AE81" s="211"/>
      <c r="AF81" s="211"/>
      <c r="DT81" s="33"/>
      <c r="DU81" s="33"/>
    </row>
    <row r="82" spans="3:125" x14ac:dyDescent="0.25">
      <c r="DT82" s="33"/>
      <c r="DU82" s="33"/>
    </row>
    <row r="83" spans="3:125" x14ac:dyDescent="0.25">
      <c r="D83" s="150"/>
      <c r="G83" s="211" t="s">
        <v>74</v>
      </c>
      <c r="H83" s="211"/>
      <c r="I83" s="211"/>
      <c r="J83" s="211"/>
      <c r="K83" s="211"/>
      <c r="L83" s="211"/>
      <c r="M83" s="211"/>
      <c r="N83" s="211"/>
      <c r="O83" s="211"/>
      <c r="P83" s="211"/>
      <c r="Q83" s="211"/>
      <c r="R83" s="211"/>
      <c r="S83" s="211"/>
      <c r="T83" s="211"/>
      <c r="U83" s="211"/>
      <c r="V83" s="211"/>
      <c r="W83" s="211"/>
      <c r="X83" s="211"/>
      <c r="Y83" s="211"/>
      <c r="Z83" s="211"/>
      <c r="AA83" s="211"/>
      <c r="AB83" s="211"/>
      <c r="AC83" s="211"/>
      <c r="AD83" s="211"/>
      <c r="AE83" s="211"/>
      <c r="AF83" s="21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C4:AF4"/>
    <mergeCell ref="AG4:BB4"/>
    <mergeCell ref="BC4:CF4"/>
    <mergeCell ref="CG4:DB4"/>
    <mergeCell ref="DC4:DS4"/>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abSelected="1" topLeftCell="A60" zoomScale="85" zoomScaleNormal="85" workbookViewId="0">
      <selection activeCell="H67" sqref="H67"/>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2" t="str">
        <f>CONCATENATE(Base!C6," ",Base!D6)</f>
        <v>Costa Paola</v>
      </c>
      <c r="E1" s="232"/>
      <c r="G1" s="20" t="s">
        <v>26</v>
      </c>
      <c r="H1" s="235">
        <f ca="1">TODAY()</f>
        <v>44326</v>
      </c>
    </row>
    <row r="2" spans="2:8" ht="42.75" customHeight="1" thickBot="1" x14ac:dyDescent="0.3">
      <c r="B2" s="233" t="s">
        <v>10</v>
      </c>
      <c r="C2" s="233"/>
      <c r="D2" s="233"/>
      <c r="E2" s="233"/>
      <c r="F2" s="233"/>
      <c r="G2" s="233"/>
      <c r="H2" s="233"/>
    </row>
    <row r="3" spans="2:8" s="100" customFormat="1" ht="15.75" thickBot="1" x14ac:dyDescent="0.3">
      <c r="B3" s="102" t="s">
        <v>0</v>
      </c>
      <c r="C3" s="98" t="s">
        <v>9</v>
      </c>
      <c r="D3" s="198" t="s">
        <v>38</v>
      </c>
      <c r="E3" s="99" t="s">
        <v>27</v>
      </c>
      <c r="F3" s="99" t="s">
        <v>28</v>
      </c>
      <c r="G3" s="104" t="s">
        <v>29</v>
      </c>
      <c r="H3" s="236" t="s">
        <v>1</v>
      </c>
    </row>
    <row r="4" spans="2:8" ht="30" x14ac:dyDescent="0.25">
      <c r="B4" s="145">
        <v>44319</v>
      </c>
      <c r="C4" s="107">
        <f>IF(ISBLANK(B4),"",_xlfn.ISOWEEKNUM(B4))</f>
        <v>18</v>
      </c>
      <c r="D4" s="21" t="s">
        <v>65</v>
      </c>
      <c r="E4" s="173">
        <v>0.37152777777777773</v>
      </c>
      <c r="F4" s="171">
        <v>0.3888888888888889</v>
      </c>
      <c r="G4" s="105">
        <f>F4-E4</f>
        <v>1.736111111111116E-2</v>
      </c>
      <c r="H4" s="237" t="s">
        <v>105</v>
      </c>
    </row>
    <row r="5" spans="2:8" ht="45" x14ac:dyDescent="0.25">
      <c r="B5" s="145">
        <v>44319</v>
      </c>
      <c r="C5" s="107">
        <f t="shared" ref="C5:C112" si="0">IF(ISBLANK(B5),"",_xlfn.ISOWEEKNUM(B5))</f>
        <v>18</v>
      </c>
      <c r="D5" s="21" t="s">
        <v>64</v>
      </c>
      <c r="E5" s="172">
        <v>0.3888888888888889</v>
      </c>
      <c r="F5" s="171">
        <v>0.39930555555555558</v>
      </c>
      <c r="G5" s="105">
        <f t="shared" ref="G5:G112" si="1">F5-E5</f>
        <v>1.0416666666666685E-2</v>
      </c>
      <c r="H5" s="237" t="s">
        <v>106</v>
      </c>
    </row>
    <row r="6" spans="2:8" ht="30" x14ac:dyDescent="0.25">
      <c r="B6" s="145">
        <v>44319</v>
      </c>
      <c r="C6" s="107">
        <f t="shared" si="0"/>
        <v>18</v>
      </c>
      <c r="D6" s="21" t="s">
        <v>98</v>
      </c>
      <c r="E6" s="171">
        <v>0.41319444444444442</v>
      </c>
      <c r="F6" s="171">
        <v>0.4548611111111111</v>
      </c>
      <c r="G6" s="105">
        <f t="shared" si="1"/>
        <v>4.1666666666666685E-2</v>
      </c>
      <c r="H6" s="237" t="s">
        <v>108</v>
      </c>
    </row>
    <row r="7" spans="2:8" x14ac:dyDescent="0.25">
      <c r="B7" s="145">
        <v>44319</v>
      </c>
      <c r="C7" s="107">
        <f t="shared" si="0"/>
        <v>18</v>
      </c>
      <c r="D7" s="21" t="s">
        <v>51</v>
      </c>
      <c r="E7" s="171">
        <v>0.4548611111111111</v>
      </c>
      <c r="F7" s="171">
        <v>0.45833333333333331</v>
      </c>
      <c r="G7" s="105">
        <f t="shared" si="1"/>
        <v>3.4722222222222099E-3</v>
      </c>
      <c r="H7" s="237" t="s">
        <v>109</v>
      </c>
    </row>
    <row r="8" spans="2:8" x14ac:dyDescent="0.25">
      <c r="B8" s="145">
        <v>44319</v>
      </c>
      <c r="C8" s="107">
        <f t="shared" si="0"/>
        <v>18</v>
      </c>
      <c r="D8" s="21" t="s">
        <v>54</v>
      </c>
      <c r="E8" s="171">
        <v>0.45833333333333331</v>
      </c>
      <c r="F8" s="171">
        <v>0.48958333333333331</v>
      </c>
      <c r="G8" s="105">
        <f t="shared" si="1"/>
        <v>3.125E-2</v>
      </c>
      <c r="H8" s="237" t="s">
        <v>110</v>
      </c>
    </row>
    <row r="9" spans="2:8" ht="45" x14ac:dyDescent="0.25">
      <c r="B9" s="145">
        <v>44319</v>
      </c>
      <c r="C9" s="107">
        <f t="shared" si="0"/>
        <v>18</v>
      </c>
      <c r="D9" s="21" t="s">
        <v>77</v>
      </c>
      <c r="E9" s="171">
        <v>0.48958333333333331</v>
      </c>
      <c r="F9" s="171">
        <v>0.51041666666666663</v>
      </c>
      <c r="G9" s="105">
        <f t="shared" si="1"/>
        <v>2.0833333333333315E-2</v>
      </c>
      <c r="H9" s="237" t="s">
        <v>113</v>
      </c>
    </row>
    <row r="10" spans="2:8" ht="45" x14ac:dyDescent="0.25">
      <c r="B10" s="145">
        <v>44319</v>
      </c>
      <c r="C10" s="107">
        <f t="shared" si="0"/>
        <v>18</v>
      </c>
      <c r="D10" s="21" t="s">
        <v>102</v>
      </c>
      <c r="E10" s="171">
        <v>0.5625</v>
      </c>
      <c r="F10" s="171">
        <v>0.57986111111111105</v>
      </c>
      <c r="G10" s="105">
        <f t="shared" si="1"/>
        <v>1.7361111111111049E-2</v>
      </c>
      <c r="H10" s="237" t="s">
        <v>114</v>
      </c>
    </row>
    <row r="11" spans="2:8" x14ac:dyDescent="0.25">
      <c r="B11" s="145">
        <v>44319</v>
      </c>
      <c r="C11" s="107">
        <f t="shared" si="0"/>
        <v>18</v>
      </c>
      <c r="D11" s="21" t="s">
        <v>80</v>
      </c>
      <c r="E11" s="171">
        <v>0.57986111111111105</v>
      </c>
      <c r="F11" s="171">
        <v>0.59722222222222221</v>
      </c>
      <c r="G11" s="105">
        <f t="shared" si="1"/>
        <v>1.736111111111116E-2</v>
      </c>
      <c r="H11" s="237" t="s">
        <v>115</v>
      </c>
    </row>
    <row r="12" spans="2:8" ht="30" x14ac:dyDescent="0.25">
      <c r="B12" s="145">
        <v>44319</v>
      </c>
      <c r="C12" s="107">
        <f t="shared" si="0"/>
        <v>18</v>
      </c>
      <c r="D12" s="21" t="s">
        <v>99</v>
      </c>
      <c r="E12" s="171">
        <v>0.59722222222222221</v>
      </c>
      <c r="F12" s="171">
        <v>0.61111111111111105</v>
      </c>
      <c r="G12" s="105">
        <f t="shared" si="1"/>
        <v>1.388888888888884E-2</v>
      </c>
      <c r="H12" s="237" t="s">
        <v>116</v>
      </c>
    </row>
    <row r="13" spans="2:8" ht="30" x14ac:dyDescent="0.25">
      <c r="B13" s="145">
        <v>44319</v>
      </c>
      <c r="C13" s="107">
        <f t="shared" si="0"/>
        <v>18</v>
      </c>
      <c r="D13" s="21" t="s">
        <v>102</v>
      </c>
      <c r="E13" s="171">
        <v>0.61111111111111105</v>
      </c>
      <c r="F13" s="171">
        <v>0.62847222222222221</v>
      </c>
      <c r="G13" s="105">
        <f t="shared" si="1"/>
        <v>1.736111111111116E-2</v>
      </c>
      <c r="H13" s="237" t="s">
        <v>117</v>
      </c>
    </row>
    <row r="14" spans="2:8" x14ac:dyDescent="0.25">
      <c r="B14" s="145">
        <v>44319</v>
      </c>
      <c r="C14" s="107">
        <f t="shared" si="0"/>
        <v>18</v>
      </c>
      <c r="D14" s="21" t="s">
        <v>55</v>
      </c>
      <c r="E14" s="171">
        <v>0.64236111111111105</v>
      </c>
      <c r="F14" s="171">
        <v>0.65972222222222221</v>
      </c>
      <c r="G14" s="105">
        <f t="shared" si="1"/>
        <v>1.736111111111116E-2</v>
      </c>
      <c r="H14" s="237" t="s">
        <v>118</v>
      </c>
    </row>
    <row r="15" spans="2:8" ht="30" x14ac:dyDescent="0.25">
      <c r="B15" s="145">
        <v>44319</v>
      </c>
      <c r="C15" s="107">
        <f t="shared" si="0"/>
        <v>18</v>
      </c>
      <c r="D15" s="21" t="s">
        <v>102</v>
      </c>
      <c r="E15" s="171">
        <v>0.65972222222222221</v>
      </c>
      <c r="F15" s="171">
        <v>0.67708333333333337</v>
      </c>
      <c r="G15" s="105">
        <f t="shared" si="1"/>
        <v>1.736111111111116E-2</v>
      </c>
      <c r="H15" s="237" t="s">
        <v>119</v>
      </c>
    </row>
    <row r="16" spans="2:8" x14ac:dyDescent="0.25">
      <c r="B16" s="145">
        <v>44319</v>
      </c>
      <c r="C16" s="107">
        <f t="shared" si="0"/>
        <v>18</v>
      </c>
      <c r="D16" s="21" t="s">
        <v>72</v>
      </c>
      <c r="E16" s="171">
        <v>0.67708333333333337</v>
      </c>
      <c r="F16" s="171">
        <v>0.70833333333333337</v>
      </c>
      <c r="G16" s="105">
        <f t="shared" si="1"/>
        <v>3.125E-2</v>
      </c>
      <c r="H16" s="237" t="s">
        <v>122</v>
      </c>
    </row>
    <row r="17" spans="2:8" ht="30" x14ac:dyDescent="0.25">
      <c r="B17" s="145">
        <v>44320</v>
      </c>
      <c r="C17" s="107">
        <f t="shared" si="0"/>
        <v>18</v>
      </c>
      <c r="D17" s="21" t="s">
        <v>51</v>
      </c>
      <c r="E17" s="171">
        <v>0.40972222222222227</v>
      </c>
      <c r="F17" s="171">
        <v>0.41666666666666669</v>
      </c>
      <c r="G17" s="105">
        <f t="shared" si="1"/>
        <v>6.9444444444444198E-3</v>
      </c>
      <c r="H17" s="237" t="s">
        <v>121</v>
      </c>
    </row>
    <row r="18" spans="2:8" ht="30" x14ac:dyDescent="0.25">
      <c r="B18" s="145">
        <v>44320</v>
      </c>
      <c r="C18" s="107">
        <f t="shared" si="0"/>
        <v>18</v>
      </c>
      <c r="D18" s="21" t="s">
        <v>72</v>
      </c>
      <c r="E18" s="171">
        <v>0.41666666666666669</v>
      </c>
      <c r="F18" s="171">
        <v>0.4375</v>
      </c>
      <c r="G18" s="105">
        <f t="shared" si="1"/>
        <v>2.0833333333333315E-2</v>
      </c>
      <c r="H18" s="237" t="s">
        <v>123</v>
      </c>
    </row>
    <row r="19" spans="2:8" ht="45" x14ac:dyDescent="0.25">
      <c r="B19" s="145">
        <v>44320</v>
      </c>
      <c r="C19" s="107">
        <f t="shared" si="0"/>
        <v>18</v>
      </c>
      <c r="D19" s="21" t="s">
        <v>57</v>
      </c>
      <c r="E19" s="171">
        <v>0.4375</v>
      </c>
      <c r="F19" s="171">
        <v>0.47222222222222227</v>
      </c>
      <c r="G19" s="105">
        <f t="shared" si="1"/>
        <v>3.4722222222222265E-2</v>
      </c>
      <c r="H19" s="237" t="s">
        <v>124</v>
      </c>
    </row>
    <row r="20" spans="2:8" ht="31.5" customHeight="1" x14ac:dyDescent="0.25">
      <c r="B20" s="145">
        <v>44320</v>
      </c>
      <c r="C20" s="107">
        <f t="shared" si="0"/>
        <v>18</v>
      </c>
      <c r="D20" s="21" t="s">
        <v>79</v>
      </c>
      <c r="E20" s="171">
        <v>0.47222222222222227</v>
      </c>
      <c r="F20" s="171">
        <v>0.4861111111111111</v>
      </c>
      <c r="G20" s="105">
        <f t="shared" si="1"/>
        <v>1.388888888888884E-2</v>
      </c>
      <c r="H20" s="237" t="s">
        <v>125</v>
      </c>
    </row>
    <row r="21" spans="2:8" ht="30" x14ac:dyDescent="0.25">
      <c r="B21" s="145">
        <v>44320</v>
      </c>
      <c r="C21" s="107">
        <f t="shared" si="0"/>
        <v>18</v>
      </c>
      <c r="D21" s="21" t="s">
        <v>58</v>
      </c>
      <c r="E21" s="171">
        <v>0.4861111111111111</v>
      </c>
      <c r="F21" s="171">
        <v>0.51041666666666663</v>
      </c>
      <c r="G21" s="105">
        <f t="shared" si="1"/>
        <v>2.4305555555555525E-2</v>
      </c>
      <c r="H21" s="237" t="s">
        <v>126</v>
      </c>
    </row>
    <row r="22" spans="2:8" ht="45" x14ac:dyDescent="0.25">
      <c r="B22" s="145">
        <v>44320</v>
      </c>
      <c r="C22" s="107">
        <f t="shared" si="0"/>
        <v>18</v>
      </c>
      <c r="D22" s="21" t="s">
        <v>58</v>
      </c>
      <c r="E22" s="171">
        <v>0.64236111111111105</v>
      </c>
      <c r="F22" s="171">
        <v>0.67708333333333337</v>
      </c>
      <c r="G22" s="105">
        <f t="shared" si="1"/>
        <v>3.4722222222222321E-2</v>
      </c>
      <c r="H22" s="237" t="s">
        <v>127</v>
      </c>
    </row>
    <row r="23" spans="2:8" ht="45" x14ac:dyDescent="0.25">
      <c r="B23" s="145">
        <v>44320</v>
      </c>
      <c r="C23" s="107">
        <f t="shared" si="0"/>
        <v>18</v>
      </c>
      <c r="D23" s="21" t="s">
        <v>102</v>
      </c>
      <c r="E23" s="171">
        <v>0.67708333333333337</v>
      </c>
      <c r="F23" s="171">
        <v>0.69791666666666663</v>
      </c>
      <c r="G23" s="105">
        <f t="shared" si="1"/>
        <v>2.0833333333333259E-2</v>
      </c>
      <c r="H23" s="237" t="s">
        <v>128</v>
      </c>
    </row>
    <row r="24" spans="2:8" ht="30" x14ac:dyDescent="0.25">
      <c r="B24" s="145">
        <v>44320</v>
      </c>
      <c r="C24" s="107">
        <f t="shared" si="0"/>
        <v>18</v>
      </c>
      <c r="D24" s="21" t="s">
        <v>104</v>
      </c>
      <c r="E24" s="171">
        <v>0.69791666666666663</v>
      </c>
      <c r="F24" s="171">
        <v>0.70486111111111116</v>
      </c>
      <c r="G24" s="105">
        <f t="shared" si="1"/>
        <v>6.9444444444445308E-3</v>
      </c>
      <c r="H24" s="237" t="s">
        <v>130</v>
      </c>
    </row>
    <row r="25" spans="2:8" ht="45" x14ac:dyDescent="0.25">
      <c r="B25" s="145">
        <v>44321</v>
      </c>
      <c r="C25" s="107">
        <f t="shared" si="0"/>
        <v>18</v>
      </c>
      <c r="D25" s="21" t="s">
        <v>58</v>
      </c>
      <c r="E25" s="171">
        <v>0.35069444444444442</v>
      </c>
      <c r="F25" s="171">
        <v>0.3923611111111111</v>
      </c>
      <c r="G25" s="105">
        <f t="shared" si="1"/>
        <v>4.1666666666666685E-2</v>
      </c>
      <c r="H25" s="237" t="s">
        <v>131</v>
      </c>
    </row>
    <row r="26" spans="2:8" ht="30" x14ac:dyDescent="0.25">
      <c r="B26" s="145">
        <v>44321</v>
      </c>
      <c r="C26" s="107">
        <f t="shared" si="0"/>
        <v>18</v>
      </c>
      <c r="D26" s="21" t="s">
        <v>111</v>
      </c>
      <c r="E26" s="171">
        <v>0.3923611111111111</v>
      </c>
      <c r="F26" s="171">
        <v>0.39930555555555558</v>
      </c>
      <c r="G26" s="105">
        <f t="shared" si="1"/>
        <v>6.9444444444444753E-3</v>
      </c>
      <c r="H26" s="237" t="s">
        <v>132</v>
      </c>
    </row>
    <row r="27" spans="2:8" ht="30" x14ac:dyDescent="0.25">
      <c r="B27" s="145">
        <v>44321</v>
      </c>
      <c r="C27" s="107">
        <f t="shared" si="0"/>
        <v>18</v>
      </c>
      <c r="D27" s="21" t="s">
        <v>111</v>
      </c>
      <c r="E27" s="171">
        <v>0.40972222222222227</v>
      </c>
      <c r="F27" s="171">
        <v>0.4236111111111111</v>
      </c>
      <c r="G27" s="105">
        <f t="shared" si="1"/>
        <v>1.388888888888884E-2</v>
      </c>
      <c r="H27" s="237" t="s">
        <v>134</v>
      </c>
    </row>
    <row r="28" spans="2:8" ht="75" x14ac:dyDescent="0.25">
      <c r="B28" s="145">
        <v>44321</v>
      </c>
      <c r="C28" s="107">
        <f t="shared" si="0"/>
        <v>18</v>
      </c>
      <c r="D28" s="21" t="s">
        <v>64</v>
      </c>
      <c r="E28" s="171">
        <v>0.4236111111111111</v>
      </c>
      <c r="F28" s="171">
        <v>0.43055555555555558</v>
      </c>
      <c r="G28" s="105">
        <f t="shared" si="1"/>
        <v>6.9444444444444753E-3</v>
      </c>
      <c r="H28" s="237" t="s">
        <v>133</v>
      </c>
    </row>
    <row r="29" spans="2:8" ht="45" x14ac:dyDescent="0.25">
      <c r="B29" s="145">
        <v>44321</v>
      </c>
      <c r="C29" s="107">
        <f t="shared" si="0"/>
        <v>18</v>
      </c>
      <c r="D29" s="21" t="s">
        <v>53</v>
      </c>
      <c r="E29" s="171">
        <v>0.43402777777777773</v>
      </c>
      <c r="F29" s="171">
        <v>0.4513888888888889</v>
      </c>
      <c r="G29" s="105">
        <f t="shared" si="1"/>
        <v>1.736111111111116E-2</v>
      </c>
      <c r="H29" s="237" t="s">
        <v>136</v>
      </c>
    </row>
    <row r="30" spans="2:8" ht="30" x14ac:dyDescent="0.25">
      <c r="B30" s="145">
        <v>44321</v>
      </c>
      <c r="C30" s="107">
        <f t="shared" si="0"/>
        <v>18</v>
      </c>
      <c r="D30" s="21" t="s">
        <v>57</v>
      </c>
      <c r="E30" s="171">
        <v>0.4548611111111111</v>
      </c>
      <c r="F30" s="171">
        <v>0.47222222222222227</v>
      </c>
      <c r="G30" s="105">
        <f t="shared" si="1"/>
        <v>1.736111111111116E-2</v>
      </c>
      <c r="H30" s="237" t="s">
        <v>138</v>
      </c>
    </row>
    <row r="31" spans="2:8" ht="30" x14ac:dyDescent="0.25">
      <c r="B31" s="145">
        <v>44321</v>
      </c>
      <c r="C31" s="107">
        <f t="shared" si="0"/>
        <v>18</v>
      </c>
      <c r="D31" s="21" t="s">
        <v>102</v>
      </c>
      <c r="E31" s="171">
        <v>0.47222222222222227</v>
      </c>
      <c r="F31" s="171">
        <v>0.47916666666666669</v>
      </c>
      <c r="G31" s="105">
        <f t="shared" si="1"/>
        <v>6.9444444444444198E-3</v>
      </c>
      <c r="H31" s="237" t="s">
        <v>139</v>
      </c>
    </row>
    <row r="32" spans="2:8" ht="45" x14ac:dyDescent="0.25">
      <c r="B32" s="145">
        <v>44321</v>
      </c>
      <c r="C32" s="107">
        <f t="shared" si="0"/>
        <v>18</v>
      </c>
      <c r="D32" s="21" t="s">
        <v>60</v>
      </c>
      <c r="E32" s="171">
        <v>0.4826388888888889</v>
      </c>
      <c r="F32" s="171">
        <v>0.50347222222222221</v>
      </c>
      <c r="G32" s="105">
        <f t="shared" si="1"/>
        <v>2.0833333333333315E-2</v>
      </c>
      <c r="H32" s="237" t="s">
        <v>140</v>
      </c>
    </row>
    <row r="33" spans="2:8" ht="45" x14ac:dyDescent="0.25">
      <c r="B33" s="145">
        <v>44321</v>
      </c>
      <c r="C33" s="107">
        <f t="shared" si="0"/>
        <v>18</v>
      </c>
      <c r="D33" s="21" t="s">
        <v>60</v>
      </c>
      <c r="E33" s="171">
        <v>0.56944444444444442</v>
      </c>
      <c r="F33" s="171">
        <v>0.57986111111111105</v>
      </c>
      <c r="G33" s="105">
        <f t="shared" si="1"/>
        <v>1.041666666666663E-2</v>
      </c>
      <c r="H33" s="237" t="s">
        <v>141</v>
      </c>
    </row>
    <row r="34" spans="2:8" ht="45" x14ac:dyDescent="0.25">
      <c r="B34" s="145">
        <v>44321</v>
      </c>
      <c r="C34" s="107">
        <f t="shared" si="0"/>
        <v>18</v>
      </c>
      <c r="D34" s="21" t="s">
        <v>56</v>
      </c>
      <c r="E34" s="171">
        <v>0.59375</v>
      </c>
      <c r="F34" s="171">
        <v>0.62847222222222221</v>
      </c>
      <c r="G34" s="105">
        <f t="shared" si="1"/>
        <v>3.472222222222221E-2</v>
      </c>
      <c r="H34" s="237" t="s">
        <v>143</v>
      </c>
    </row>
    <row r="35" spans="2:8" ht="30" x14ac:dyDescent="0.25">
      <c r="B35" s="145">
        <v>44321</v>
      </c>
      <c r="C35" s="107">
        <f t="shared" si="0"/>
        <v>18</v>
      </c>
      <c r="D35" s="21" t="s">
        <v>57</v>
      </c>
      <c r="E35" s="171">
        <v>0.63888888888888895</v>
      </c>
      <c r="F35" s="171">
        <v>0.64236111111111105</v>
      </c>
      <c r="G35" s="105">
        <f t="shared" si="1"/>
        <v>3.4722222222220989E-3</v>
      </c>
      <c r="H35" s="237" t="s">
        <v>144</v>
      </c>
    </row>
    <row r="36" spans="2:8" ht="30" x14ac:dyDescent="0.25">
      <c r="B36" s="145">
        <v>44321</v>
      </c>
      <c r="C36" s="107">
        <f t="shared" si="0"/>
        <v>18</v>
      </c>
      <c r="D36" s="21" t="s">
        <v>63</v>
      </c>
      <c r="E36" s="171">
        <v>0.64236111111111105</v>
      </c>
      <c r="F36" s="171">
        <v>0.66666666666666663</v>
      </c>
      <c r="G36" s="105">
        <f t="shared" si="1"/>
        <v>2.430555555555558E-2</v>
      </c>
      <c r="H36" s="237" t="s">
        <v>145</v>
      </c>
    </row>
    <row r="37" spans="2:8" ht="30" x14ac:dyDescent="0.25">
      <c r="B37" s="145">
        <v>44321</v>
      </c>
      <c r="C37" s="107">
        <f t="shared" si="0"/>
        <v>18</v>
      </c>
      <c r="D37" s="21" t="s">
        <v>102</v>
      </c>
      <c r="E37" s="171">
        <v>0.68402777777777779</v>
      </c>
      <c r="F37" s="171">
        <v>0.69791666666666663</v>
      </c>
      <c r="G37" s="105">
        <f t="shared" si="1"/>
        <v>1.388888888888884E-2</v>
      </c>
      <c r="H37" s="237" t="s">
        <v>147</v>
      </c>
    </row>
    <row r="38" spans="2:8" ht="30" x14ac:dyDescent="0.25">
      <c r="B38" s="145">
        <v>44322</v>
      </c>
      <c r="C38" s="107">
        <f t="shared" si="0"/>
        <v>18</v>
      </c>
      <c r="D38" s="21" t="s">
        <v>102</v>
      </c>
      <c r="E38" s="171">
        <v>0.33333333333333331</v>
      </c>
      <c r="F38" s="171">
        <v>0.34375</v>
      </c>
      <c r="G38" s="105">
        <f t="shared" si="1"/>
        <v>1.0416666666666685E-2</v>
      </c>
      <c r="H38" s="237" t="s">
        <v>148</v>
      </c>
    </row>
    <row r="39" spans="2:8" ht="30" x14ac:dyDescent="0.25">
      <c r="B39" s="145">
        <v>44322</v>
      </c>
      <c r="C39" s="107">
        <f t="shared" si="0"/>
        <v>18</v>
      </c>
      <c r="D39" s="21" t="s">
        <v>61</v>
      </c>
      <c r="E39" s="171">
        <v>0.34375</v>
      </c>
      <c r="F39" s="171">
        <v>0.35416666666666669</v>
      </c>
      <c r="G39" s="105">
        <f t="shared" si="1"/>
        <v>1.0416666666666685E-2</v>
      </c>
      <c r="H39" s="237" t="s">
        <v>149</v>
      </c>
    </row>
    <row r="40" spans="2:8" x14ac:dyDescent="0.25">
      <c r="B40" s="145">
        <v>44322</v>
      </c>
      <c r="C40" s="107">
        <f t="shared" si="0"/>
        <v>18</v>
      </c>
      <c r="D40" s="21" t="s">
        <v>61</v>
      </c>
      <c r="E40" s="171">
        <v>0.35416666666666669</v>
      </c>
      <c r="F40" s="171">
        <v>0.38541666666666669</v>
      </c>
      <c r="G40" s="105">
        <f t="shared" si="1"/>
        <v>3.125E-2</v>
      </c>
      <c r="H40" s="237" t="s">
        <v>150</v>
      </c>
    </row>
    <row r="41" spans="2:8" ht="45" customHeight="1" x14ac:dyDescent="0.25">
      <c r="B41" s="145">
        <v>44322</v>
      </c>
      <c r="C41" s="107">
        <f t="shared" si="0"/>
        <v>18</v>
      </c>
      <c r="D41" s="21" t="s">
        <v>67</v>
      </c>
      <c r="E41" s="171">
        <v>0.38541666666666669</v>
      </c>
      <c r="F41" s="171">
        <v>0.3923611111111111</v>
      </c>
      <c r="G41" s="105">
        <f t="shared" si="1"/>
        <v>6.9444444444444198E-3</v>
      </c>
      <c r="H41" s="237" t="s">
        <v>152</v>
      </c>
    </row>
    <row r="42" spans="2:8" x14ac:dyDescent="0.25">
      <c r="B42" s="145">
        <v>44322</v>
      </c>
      <c r="C42" s="107">
        <f t="shared" si="0"/>
        <v>18</v>
      </c>
      <c r="D42" s="21" t="s">
        <v>61</v>
      </c>
      <c r="E42" s="171">
        <v>0.3923611111111111</v>
      </c>
      <c r="F42" s="171">
        <v>0.39930555555555558</v>
      </c>
      <c r="G42" s="105">
        <f t="shared" si="1"/>
        <v>6.9444444444444753E-3</v>
      </c>
      <c r="H42" s="237" t="s">
        <v>153</v>
      </c>
    </row>
    <row r="43" spans="2:8" x14ac:dyDescent="0.25">
      <c r="B43" s="145">
        <v>44322</v>
      </c>
      <c r="C43" s="107">
        <f t="shared" si="0"/>
        <v>18</v>
      </c>
      <c r="D43" s="21" t="s">
        <v>61</v>
      </c>
      <c r="E43" s="201">
        <v>0.40972222222222227</v>
      </c>
      <c r="F43" s="171">
        <v>0.44444444444444442</v>
      </c>
      <c r="G43" s="105">
        <f t="shared" si="1"/>
        <v>3.4722222222222154E-2</v>
      </c>
      <c r="H43" s="237" t="s">
        <v>154</v>
      </c>
    </row>
    <row r="44" spans="2:8" ht="45" x14ac:dyDescent="0.25">
      <c r="B44" s="145">
        <v>44322</v>
      </c>
      <c r="C44" s="107">
        <f t="shared" si="0"/>
        <v>18</v>
      </c>
      <c r="D44" s="21" t="s">
        <v>59</v>
      </c>
      <c r="E44" s="171">
        <v>0.44791666666666669</v>
      </c>
      <c r="F44" s="171">
        <v>0.46180555555555558</v>
      </c>
      <c r="G44" s="105">
        <f t="shared" si="1"/>
        <v>1.3888888888888895E-2</v>
      </c>
      <c r="H44" s="237" t="s">
        <v>155</v>
      </c>
    </row>
    <row r="45" spans="2:8" x14ac:dyDescent="0.25">
      <c r="B45" s="145">
        <v>44322</v>
      </c>
      <c r="C45" s="107">
        <f t="shared" si="0"/>
        <v>18</v>
      </c>
      <c r="D45" s="21" t="s">
        <v>62</v>
      </c>
      <c r="E45" s="171">
        <v>0.46527777777777773</v>
      </c>
      <c r="F45" s="171">
        <v>0.49305555555555558</v>
      </c>
      <c r="G45" s="105">
        <f t="shared" si="1"/>
        <v>2.7777777777777846E-2</v>
      </c>
      <c r="H45" s="237" t="s">
        <v>156</v>
      </c>
    </row>
    <row r="46" spans="2:8" ht="30" x14ac:dyDescent="0.25">
      <c r="B46" s="145">
        <v>44322</v>
      </c>
      <c r="C46" s="107">
        <f t="shared" si="0"/>
        <v>18</v>
      </c>
      <c r="D46" s="21" t="s">
        <v>102</v>
      </c>
      <c r="E46" s="171">
        <v>0.49305555555555558</v>
      </c>
      <c r="F46" s="171">
        <v>0.5</v>
      </c>
      <c r="G46" s="105">
        <f t="shared" si="1"/>
        <v>6.9444444444444198E-3</v>
      </c>
      <c r="H46" s="237" t="s">
        <v>157</v>
      </c>
    </row>
    <row r="47" spans="2:8" ht="30" customHeight="1" x14ac:dyDescent="0.25">
      <c r="B47" s="145">
        <v>44322</v>
      </c>
      <c r="C47" s="107">
        <f t="shared" si="0"/>
        <v>18</v>
      </c>
      <c r="D47" s="21" t="s">
        <v>146</v>
      </c>
      <c r="E47" s="171">
        <v>0.5625</v>
      </c>
      <c r="F47" s="171">
        <v>0.58333333333333337</v>
      </c>
      <c r="G47" s="105">
        <f t="shared" si="1"/>
        <v>2.083333333333337E-2</v>
      </c>
      <c r="H47" s="237" t="s">
        <v>158</v>
      </c>
    </row>
    <row r="48" spans="2:8" ht="30" x14ac:dyDescent="0.25">
      <c r="B48" s="145">
        <v>44322</v>
      </c>
      <c r="C48" s="107">
        <f t="shared" si="0"/>
        <v>18</v>
      </c>
      <c r="D48" s="21" t="s">
        <v>67</v>
      </c>
      <c r="E48" s="171">
        <v>0.58333333333333337</v>
      </c>
      <c r="F48" s="171">
        <v>0.58680555555555558</v>
      </c>
      <c r="G48" s="105">
        <f t="shared" si="1"/>
        <v>3.4722222222222099E-3</v>
      </c>
      <c r="H48" s="237" t="s">
        <v>159</v>
      </c>
    </row>
    <row r="49" spans="2:8" x14ac:dyDescent="0.25">
      <c r="B49" s="145">
        <v>44322</v>
      </c>
      <c r="C49" s="107">
        <f t="shared" si="0"/>
        <v>18</v>
      </c>
      <c r="D49" s="21" t="s">
        <v>62</v>
      </c>
      <c r="E49" s="171">
        <v>0.58680555555555558</v>
      </c>
      <c r="F49" s="171">
        <v>0.59027777777777779</v>
      </c>
      <c r="G49" s="105">
        <f t="shared" si="1"/>
        <v>3.4722222222222099E-3</v>
      </c>
      <c r="H49" s="237" t="s">
        <v>160</v>
      </c>
    </row>
    <row r="50" spans="2:8" ht="30" x14ac:dyDescent="0.25">
      <c r="B50" s="145">
        <v>44322</v>
      </c>
      <c r="C50" s="107">
        <f t="shared" si="0"/>
        <v>18</v>
      </c>
      <c r="D50" s="21" t="s">
        <v>102</v>
      </c>
      <c r="E50" s="171">
        <v>0.60416666666666663</v>
      </c>
      <c r="F50" s="171">
        <v>0.62847222222222221</v>
      </c>
      <c r="G50" s="105">
        <f t="shared" si="1"/>
        <v>2.430555555555558E-2</v>
      </c>
      <c r="H50" s="237" t="s">
        <v>161</v>
      </c>
    </row>
    <row r="51" spans="2:8" x14ac:dyDescent="0.25">
      <c r="B51" s="145">
        <v>44322</v>
      </c>
      <c r="C51" s="107">
        <f t="shared" si="0"/>
        <v>18</v>
      </c>
      <c r="D51" s="21" t="s">
        <v>101</v>
      </c>
      <c r="E51" s="171">
        <v>0.63888888888888895</v>
      </c>
      <c r="F51" s="171">
        <v>0.65625</v>
      </c>
      <c r="G51" s="105">
        <f t="shared" si="1"/>
        <v>1.7361111111111049E-2</v>
      </c>
      <c r="H51" s="237" t="s">
        <v>163</v>
      </c>
    </row>
    <row r="52" spans="2:8" ht="30" x14ac:dyDescent="0.25">
      <c r="B52" s="145">
        <v>44322</v>
      </c>
      <c r="C52" s="107">
        <f t="shared" si="0"/>
        <v>18</v>
      </c>
      <c r="D52" s="21" t="s">
        <v>104</v>
      </c>
      <c r="E52" s="171">
        <v>0.65625</v>
      </c>
      <c r="F52" s="171">
        <v>0.66319444444444442</v>
      </c>
      <c r="G52" s="105">
        <f t="shared" si="1"/>
        <v>6.9444444444444198E-3</v>
      </c>
      <c r="H52" s="237" t="s">
        <v>130</v>
      </c>
    </row>
    <row r="53" spans="2:8" x14ac:dyDescent="0.25">
      <c r="B53" s="145">
        <v>44326</v>
      </c>
      <c r="C53" s="107">
        <f t="shared" si="0"/>
        <v>19</v>
      </c>
      <c r="D53" s="21" t="s">
        <v>75</v>
      </c>
      <c r="E53" s="171">
        <v>0.36805555555555558</v>
      </c>
      <c r="F53" s="171">
        <v>0.38541666666666669</v>
      </c>
      <c r="G53" s="105">
        <f t="shared" si="1"/>
        <v>1.7361111111111105E-2</v>
      </c>
      <c r="H53" s="237" t="s">
        <v>166</v>
      </c>
    </row>
    <row r="54" spans="2:8" x14ac:dyDescent="0.25">
      <c r="B54" s="145">
        <v>44326</v>
      </c>
      <c r="C54" s="107">
        <f t="shared" si="0"/>
        <v>19</v>
      </c>
      <c r="D54" s="21" t="s">
        <v>75</v>
      </c>
      <c r="E54" s="171">
        <v>0.38541666666666669</v>
      </c>
      <c r="F54" s="171">
        <v>0.39930555555555558</v>
      </c>
      <c r="G54" s="105">
        <f t="shared" si="1"/>
        <v>1.3888888888888895E-2</v>
      </c>
      <c r="H54" s="237" t="s">
        <v>167</v>
      </c>
    </row>
    <row r="55" spans="2:8" x14ac:dyDescent="0.25">
      <c r="B55" s="145">
        <v>44326</v>
      </c>
      <c r="C55" s="107">
        <f t="shared" si="0"/>
        <v>19</v>
      </c>
      <c r="D55" s="21" t="s">
        <v>75</v>
      </c>
      <c r="E55" s="171">
        <v>0.40972222222222227</v>
      </c>
      <c r="F55" s="171">
        <v>0.43055555555555558</v>
      </c>
      <c r="G55" s="105">
        <f t="shared" si="1"/>
        <v>2.0833333333333315E-2</v>
      </c>
      <c r="H55" s="237" t="s">
        <v>168</v>
      </c>
    </row>
    <row r="56" spans="2:8" ht="30" x14ac:dyDescent="0.25">
      <c r="B56" s="145">
        <v>44326</v>
      </c>
      <c r="C56" s="107">
        <f t="shared" si="0"/>
        <v>19</v>
      </c>
      <c r="D56" s="21" t="s">
        <v>102</v>
      </c>
      <c r="E56" s="171">
        <v>0.43055555555555558</v>
      </c>
      <c r="F56" s="171">
        <v>0.4375</v>
      </c>
      <c r="G56" s="105">
        <f t="shared" si="1"/>
        <v>6.9444444444444198E-3</v>
      </c>
      <c r="H56" s="237" t="s">
        <v>169</v>
      </c>
    </row>
    <row r="57" spans="2:8" ht="30" x14ac:dyDescent="0.25">
      <c r="B57" s="145">
        <v>44326</v>
      </c>
      <c r="C57" s="107">
        <f t="shared" si="0"/>
        <v>19</v>
      </c>
      <c r="D57" s="21" t="s">
        <v>76</v>
      </c>
      <c r="E57" s="171">
        <v>0.4375</v>
      </c>
      <c r="F57" s="171">
        <v>0.48958333333333331</v>
      </c>
      <c r="G57" s="105">
        <f t="shared" si="1"/>
        <v>5.2083333333333315E-2</v>
      </c>
      <c r="H57" s="237" t="s">
        <v>170</v>
      </c>
    </row>
    <row r="58" spans="2:8" ht="30" x14ac:dyDescent="0.25">
      <c r="B58" s="145">
        <v>44326</v>
      </c>
      <c r="C58" s="107">
        <f t="shared" si="0"/>
        <v>19</v>
      </c>
      <c r="D58" s="21" t="s">
        <v>67</v>
      </c>
      <c r="E58" s="171">
        <v>0.48958333333333331</v>
      </c>
      <c r="F58" s="171">
        <v>0.49305555555555558</v>
      </c>
      <c r="G58" s="105">
        <f t="shared" si="1"/>
        <v>3.4722222222222654E-3</v>
      </c>
      <c r="H58" s="237" t="s">
        <v>171</v>
      </c>
    </row>
    <row r="59" spans="2:8" ht="45" x14ac:dyDescent="0.25">
      <c r="B59" s="145">
        <v>44326</v>
      </c>
      <c r="C59" s="107">
        <f t="shared" si="0"/>
        <v>19</v>
      </c>
      <c r="D59" s="21" t="s">
        <v>76</v>
      </c>
      <c r="E59" s="171">
        <v>0.49305555555555558</v>
      </c>
      <c r="F59" s="171">
        <v>0.50694444444444442</v>
      </c>
      <c r="G59" s="105">
        <f t="shared" si="1"/>
        <v>1.388888888888884E-2</v>
      </c>
      <c r="H59" s="237" t="s">
        <v>172</v>
      </c>
    </row>
    <row r="60" spans="2:8" ht="30" x14ac:dyDescent="0.25">
      <c r="B60" s="145">
        <v>44326</v>
      </c>
      <c r="C60" s="107">
        <f t="shared" si="0"/>
        <v>19</v>
      </c>
      <c r="D60" s="21" t="s">
        <v>102</v>
      </c>
      <c r="E60" s="171">
        <v>0.50694444444444442</v>
      </c>
      <c r="F60" s="171">
        <v>0.51041666666666663</v>
      </c>
      <c r="G60" s="105">
        <f t="shared" si="1"/>
        <v>3.4722222222222099E-3</v>
      </c>
      <c r="H60" s="237" t="s">
        <v>173</v>
      </c>
    </row>
    <row r="61" spans="2:8" ht="45" x14ac:dyDescent="0.25">
      <c r="B61" s="145">
        <v>44326</v>
      </c>
      <c r="C61" s="107">
        <f t="shared" si="0"/>
        <v>19</v>
      </c>
      <c r="D61" s="21" t="s">
        <v>76</v>
      </c>
      <c r="E61" s="171">
        <v>0.5625</v>
      </c>
      <c r="F61" s="171">
        <v>0.60416666666666663</v>
      </c>
      <c r="G61" s="105">
        <f t="shared" si="1"/>
        <v>4.166666666666663E-2</v>
      </c>
      <c r="H61" s="237" t="s">
        <v>174</v>
      </c>
    </row>
    <row r="62" spans="2:8" ht="60" x14ac:dyDescent="0.25">
      <c r="B62" s="145">
        <v>44326</v>
      </c>
      <c r="C62" s="107">
        <f t="shared" si="0"/>
        <v>19</v>
      </c>
      <c r="D62" s="21" t="s">
        <v>81</v>
      </c>
      <c r="E62" s="171">
        <v>0.60416666666666663</v>
      </c>
      <c r="F62" s="171">
        <v>0.61805555555555558</v>
      </c>
      <c r="G62" s="105">
        <f t="shared" si="1"/>
        <v>1.3888888888888951E-2</v>
      </c>
      <c r="H62" s="237" t="s">
        <v>175</v>
      </c>
    </row>
    <row r="63" spans="2:8" ht="30" x14ac:dyDescent="0.25">
      <c r="B63" s="145">
        <v>44326</v>
      </c>
      <c r="C63" s="107">
        <f t="shared" si="0"/>
        <v>19</v>
      </c>
      <c r="D63" s="21" t="s">
        <v>102</v>
      </c>
      <c r="E63" s="171">
        <v>0.61805555555555558</v>
      </c>
      <c r="F63" s="171">
        <v>0.63194444444444442</v>
      </c>
      <c r="G63" s="105">
        <f t="shared" si="1"/>
        <v>1.388888888888884E-2</v>
      </c>
      <c r="H63" s="237" t="s">
        <v>176</v>
      </c>
    </row>
    <row r="64" spans="2:8" ht="30" x14ac:dyDescent="0.25">
      <c r="B64" s="145">
        <v>44326</v>
      </c>
      <c r="C64" s="107">
        <f t="shared" si="0"/>
        <v>19</v>
      </c>
      <c r="D64" s="21" t="s">
        <v>82</v>
      </c>
      <c r="E64" s="171">
        <v>0.64930555555555558</v>
      </c>
      <c r="F64" s="171">
        <v>0.66666666666666663</v>
      </c>
      <c r="G64" s="105">
        <f t="shared" si="1"/>
        <v>1.7361111111111049E-2</v>
      </c>
      <c r="H64" s="237" t="s">
        <v>177</v>
      </c>
    </row>
    <row r="65" spans="2:8" ht="30" x14ac:dyDescent="0.25">
      <c r="B65" s="145">
        <v>44326</v>
      </c>
      <c r="C65" s="107">
        <f t="shared" si="0"/>
        <v>19</v>
      </c>
      <c r="D65" s="21" t="s">
        <v>82</v>
      </c>
      <c r="E65" s="171">
        <v>0.67361111111111116</v>
      </c>
      <c r="F65" s="171">
        <v>0.70138888888888884</v>
      </c>
      <c r="G65" s="105">
        <f t="shared" si="1"/>
        <v>2.7777777777777679E-2</v>
      </c>
      <c r="H65" s="237" t="s">
        <v>178</v>
      </c>
    </row>
    <row r="66" spans="2:8" ht="30" x14ac:dyDescent="0.25">
      <c r="B66" s="145">
        <v>44326</v>
      </c>
      <c r="C66" s="107">
        <f t="shared" si="0"/>
        <v>19</v>
      </c>
      <c r="D66" s="21" t="s">
        <v>77</v>
      </c>
      <c r="E66" s="171">
        <v>0.70138888888888884</v>
      </c>
      <c r="F66" s="171">
        <v>0.70486111111111116</v>
      </c>
      <c r="G66" s="105">
        <f t="shared" si="1"/>
        <v>3.4722222222223209E-3</v>
      </c>
      <c r="H66" s="237" t="s">
        <v>179</v>
      </c>
    </row>
    <row r="67" spans="2:8" x14ac:dyDescent="0.25">
      <c r="B67" s="145"/>
      <c r="C67" s="107" t="str">
        <f t="shared" si="0"/>
        <v/>
      </c>
      <c r="D67" s="21"/>
      <c r="E67" s="171"/>
      <c r="F67" s="171"/>
      <c r="G67" s="105">
        <f t="shared" si="1"/>
        <v>0</v>
      </c>
      <c r="H67" s="237"/>
    </row>
    <row r="68" spans="2:8" x14ac:dyDescent="0.25">
      <c r="B68" s="145"/>
      <c r="C68" s="107" t="str">
        <f t="shared" si="0"/>
        <v/>
      </c>
      <c r="D68" s="21"/>
      <c r="E68" s="171"/>
      <c r="F68" s="171"/>
      <c r="G68" s="105">
        <f t="shared" si="1"/>
        <v>0</v>
      </c>
      <c r="H68" s="237"/>
    </row>
    <row r="69" spans="2:8" x14ac:dyDescent="0.25">
      <c r="B69" s="145"/>
      <c r="C69" s="107" t="str">
        <f t="shared" si="0"/>
        <v/>
      </c>
      <c r="D69" s="21"/>
      <c r="E69" s="171"/>
      <c r="F69" s="171"/>
      <c r="G69" s="105">
        <f t="shared" si="1"/>
        <v>0</v>
      </c>
      <c r="H69" s="237"/>
    </row>
    <row r="70" spans="2:8" x14ac:dyDescent="0.25">
      <c r="B70" s="145"/>
      <c r="C70" s="107" t="str">
        <f t="shared" si="0"/>
        <v/>
      </c>
      <c r="D70" s="21"/>
      <c r="E70" s="171"/>
      <c r="F70" s="171"/>
      <c r="G70" s="105">
        <f t="shared" si="1"/>
        <v>0</v>
      </c>
      <c r="H70" s="237"/>
    </row>
    <row r="71" spans="2:8" x14ac:dyDescent="0.25">
      <c r="B71" s="145"/>
      <c r="C71" s="107" t="str">
        <f t="shared" si="0"/>
        <v/>
      </c>
      <c r="D71" s="21"/>
      <c r="E71" s="171"/>
      <c r="F71" s="171"/>
      <c r="G71" s="105">
        <f t="shared" si="1"/>
        <v>0</v>
      </c>
      <c r="H71" s="237"/>
    </row>
    <row r="72" spans="2:8" x14ac:dyDescent="0.25">
      <c r="B72" s="145"/>
      <c r="C72" s="107" t="str">
        <f t="shared" si="0"/>
        <v/>
      </c>
      <c r="D72" s="21"/>
      <c r="E72" s="171"/>
      <c r="F72" s="171"/>
      <c r="G72" s="105">
        <f t="shared" si="1"/>
        <v>0</v>
      </c>
      <c r="H72" s="237"/>
    </row>
    <row r="73" spans="2:8" x14ac:dyDescent="0.25">
      <c r="B73" s="145"/>
      <c r="C73" s="107" t="str">
        <f t="shared" si="0"/>
        <v/>
      </c>
      <c r="D73" s="21"/>
      <c r="E73" s="171"/>
      <c r="F73" s="171"/>
      <c r="G73" s="105">
        <f t="shared" si="1"/>
        <v>0</v>
      </c>
      <c r="H73" s="237"/>
    </row>
    <row r="74" spans="2:8" x14ac:dyDescent="0.25">
      <c r="B74" s="145"/>
      <c r="C74" s="107" t="str">
        <f t="shared" si="0"/>
        <v/>
      </c>
      <c r="D74" s="21"/>
      <c r="E74" s="171"/>
      <c r="F74" s="171"/>
      <c r="G74" s="105">
        <f t="shared" si="1"/>
        <v>0</v>
      </c>
      <c r="H74" s="237"/>
    </row>
    <row r="75" spans="2:8" x14ac:dyDescent="0.25">
      <c r="B75" s="145"/>
      <c r="C75" s="107" t="str">
        <f t="shared" si="0"/>
        <v/>
      </c>
      <c r="D75" s="21"/>
      <c r="E75" s="171"/>
      <c r="F75" s="171"/>
      <c r="G75" s="105">
        <f t="shared" si="1"/>
        <v>0</v>
      </c>
      <c r="H75" s="237"/>
    </row>
    <row r="76" spans="2:8" x14ac:dyDescent="0.25">
      <c r="B76" s="145"/>
      <c r="C76" s="107" t="str">
        <f t="shared" si="0"/>
        <v/>
      </c>
      <c r="D76" s="21"/>
      <c r="E76" s="171"/>
      <c r="F76" s="171"/>
      <c r="G76" s="105">
        <f t="shared" si="1"/>
        <v>0</v>
      </c>
      <c r="H76" s="237"/>
    </row>
    <row r="77" spans="2:8" x14ac:dyDescent="0.25">
      <c r="B77" s="145"/>
      <c r="C77" s="107" t="str">
        <f t="shared" si="0"/>
        <v/>
      </c>
      <c r="D77" s="21"/>
      <c r="E77" s="171"/>
      <c r="F77" s="171"/>
      <c r="G77" s="105">
        <f t="shared" si="1"/>
        <v>0</v>
      </c>
      <c r="H77" s="237"/>
    </row>
    <row r="78" spans="2:8" x14ac:dyDescent="0.25">
      <c r="B78" s="145"/>
      <c r="C78" s="107" t="str">
        <f t="shared" si="0"/>
        <v/>
      </c>
      <c r="D78" s="21"/>
      <c r="E78" s="171"/>
      <c r="F78" s="171"/>
      <c r="G78" s="105">
        <f t="shared" si="1"/>
        <v>0</v>
      </c>
      <c r="H78" s="237"/>
    </row>
    <row r="79" spans="2:8" x14ac:dyDescent="0.25">
      <c r="B79" s="145"/>
      <c r="C79" s="107" t="str">
        <f t="shared" si="0"/>
        <v/>
      </c>
      <c r="D79" s="21"/>
      <c r="E79" s="171"/>
      <c r="F79" s="171"/>
      <c r="G79" s="105">
        <f t="shared" si="1"/>
        <v>0</v>
      </c>
      <c r="H79" s="237"/>
    </row>
    <row r="80" spans="2:8" x14ac:dyDescent="0.25">
      <c r="B80" s="145"/>
      <c r="C80" s="107" t="str">
        <f t="shared" si="0"/>
        <v/>
      </c>
      <c r="D80" s="21"/>
      <c r="E80" s="171"/>
      <c r="F80" s="171"/>
      <c r="G80" s="105">
        <f t="shared" si="1"/>
        <v>0</v>
      </c>
      <c r="H80" s="237"/>
    </row>
    <row r="81" spans="2:8" x14ac:dyDescent="0.25">
      <c r="B81" s="145"/>
      <c r="C81" s="107" t="str">
        <f t="shared" si="0"/>
        <v/>
      </c>
      <c r="D81" s="21"/>
      <c r="E81" s="171"/>
      <c r="F81" s="171"/>
      <c r="G81" s="105">
        <f t="shared" si="1"/>
        <v>0</v>
      </c>
      <c r="H81" s="237"/>
    </row>
    <row r="82" spans="2:8" x14ac:dyDescent="0.25">
      <c r="B82" s="145"/>
      <c r="C82" s="107" t="str">
        <f t="shared" si="0"/>
        <v/>
      </c>
      <c r="D82" s="21"/>
      <c r="E82" s="171"/>
      <c r="F82" s="171"/>
      <c r="G82" s="105">
        <f t="shared" si="1"/>
        <v>0</v>
      </c>
      <c r="H82" s="237"/>
    </row>
    <row r="83" spans="2:8" x14ac:dyDescent="0.25">
      <c r="B83" s="145"/>
      <c r="C83" s="107" t="str">
        <f t="shared" si="0"/>
        <v/>
      </c>
      <c r="D83" s="21"/>
      <c r="E83" s="171"/>
      <c r="F83" s="171"/>
      <c r="G83" s="105">
        <f t="shared" si="1"/>
        <v>0</v>
      </c>
      <c r="H83" s="237"/>
    </row>
    <row r="84" spans="2:8" x14ac:dyDescent="0.25">
      <c r="B84" s="145"/>
      <c r="C84" s="107" t="str">
        <f t="shared" si="0"/>
        <v/>
      </c>
      <c r="D84" s="21"/>
      <c r="E84" s="171"/>
      <c r="F84" s="171"/>
      <c r="G84" s="105">
        <f t="shared" si="1"/>
        <v>0</v>
      </c>
      <c r="H84" s="237"/>
    </row>
    <row r="85" spans="2:8" x14ac:dyDescent="0.25">
      <c r="B85" s="145"/>
      <c r="C85" s="107" t="str">
        <f t="shared" si="0"/>
        <v/>
      </c>
      <c r="D85" s="21"/>
      <c r="E85" s="171"/>
      <c r="F85" s="171"/>
      <c r="G85" s="105">
        <f t="shared" si="1"/>
        <v>0</v>
      </c>
      <c r="H85" s="237"/>
    </row>
    <row r="86" spans="2:8" x14ac:dyDescent="0.25">
      <c r="B86" s="145"/>
      <c r="C86" s="107" t="str">
        <f t="shared" si="0"/>
        <v/>
      </c>
      <c r="D86" s="21"/>
      <c r="E86" s="171"/>
      <c r="F86" s="171"/>
      <c r="G86" s="105">
        <f t="shared" si="1"/>
        <v>0</v>
      </c>
      <c r="H86" s="237"/>
    </row>
    <row r="87" spans="2:8" x14ac:dyDescent="0.25">
      <c r="B87" s="145"/>
      <c r="C87" s="107" t="str">
        <f t="shared" si="0"/>
        <v/>
      </c>
      <c r="D87" s="21"/>
      <c r="E87" s="171"/>
      <c r="F87" s="171"/>
      <c r="G87" s="105">
        <f t="shared" si="1"/>
        <v>0</v>
      </c>
      <c r="H87" s="237"/>
    </row>
    <row r="88" spans="2:8" x14ac:dyDescent="0.25">
      <c r="B88" s="145"/>
      <c r="C88" s="107" t="str">
        <f t="shared" si="0"/>
        <v/>
      </c>
      <c r="D88" s="21"/>
      <c r="E88" s="171"/>
      <c r="F88" s="171"/>
      <c r="G88" s="105">
        <f t="shared" si="1"/>
        <v>0</v>
      </c>
      <c r="H88" s="237"/>
    </row>
    <row r="89" spans="2:8" x14ac:dyDescent="0.25">
      <c r="B89" s="145"/>
      <c r="C89" s="107" t="str">
        <f t="shared" si="0"/>
        <v/>
      </c>
      <c r="D89" s="21"/>
      <c r="E89" s="171"/>
      <c r="F89" s="171"/>
      <c r="G89" s="105">
        <f t="shared" si="1"/>
        <v>0</v>
      </c>
      <c r="H89" s="237"/>
    </row>
    <row r="90" spans="2:8" x14ac:dyDescent="0.25">
      <c r="B90" s="145"/>
      <c r="C90" s="107" t="str">
        <f t="shared" si="0"/>
        <v/>
      </c>
      <c r="D90" s="21"/>
      <c r="E90" s="171"/>
      <c r="F90" s="171"/>
      <c r="G90" s="105">
        <f t="shared" si="1"/>
        <v>0</v>
      </c>
      <c r="H90" s="237"/>
    </row>
    <row r="91" spans="2:8" x14ac:dyDescent="0.25">
      <c r="B91" s="145"/>
      <c r="C91" s="107" t="str">
        <f t="shared" si="0"/>
        <v/>
      </c>
      <c r="D91" s="21"/>
      <c r="E91" s="171"/>
      <c r="F91" s="171"/>
      <c r="G91" s="105">
        <f t="shared" si="1"/>
        <v>0</v>
      </c>
      <c r="H91" s="237"/>
    </row>
    <row r="92" spans="2:8" x14ac:dyDescent="0.25">
      <c r="B92" s="145"/>
      <c r="C92" s="107" t="str">
        <f t="shared" si="0"/>
        <v/>
      </c>
      <c r="D92" s="21"/>
      <c r="E92" s="171"/>
      <c r="F92" s="171"/>
      <c r="G92" s="105">
        <f t="shared" si="1"/>
        <v>0</v>
      </c>
      <c r="H92" s="237"/>
    </row>
    <row r="93" spans="2:8" x14ac:dyDescent="0.25">
      <c r="B93" s="145"/>
      <c r="C93" s="107" t="str">
        <f t="shared" si="0"/>
        <v/>
      </c>
      <c r="D93" s="21"/>
      <c r="E93" s="171"/>
      <c r="F93" s="171"/>
      <c r="G93" s="105">
        <f t="shared" si="1"/>
        <v>0</v>
      </c>
      <c r="H93" s="237"/>
    </row>
    <row r="94" spans="2:8" x14ac:dyDescent="0.25">
      <c r="B94" s="145"/>
      <c r="C94" s="107" t="str">
        <f t="shared" si="0"/>
        <v/>
      </c>
      <c r="D94" s="21"/>
      <c r="E94" s="171"/>
      <c r="F94" s="171"/>
      <c r="G94" s="105">
        <f t="shared" si="1"/>
        <v>0</v>
      </c>
      <c r="H94" s="237"/>
    </row>
    <row r="95" spans="2:8" x14ac:dyDescent="0.25">
      <c r="B95" s="145"/>
      <c r="C95" s="107" t="str">
        <f t="shared" si="0"/>
        <v/>
      </c>
      <c r="D95" s="21"/>
      <c r="E95" s="171"/>
      <c r="F95" s="171"/>
      <c r="G95" s="105">
        <f t="shared" si="1"/>
        <v>0</v>
      </c>
      <c r="H95" s="237"/>
    </row>
    <row r="96" spans="2:8" x14ac:dyDescent="0.25">
      <c r="B96" s="145"/>
      <c r="C96" s="107" t="str">
        <f t="shared" si="0"/>
        <v/>
      </c>
      <c r="D96" s="21"/>
      <c r="E96" s="171"/>
      <c r="F96" s="171"/>
      <c r="G96" s="105">
        <f t="shared" si="1"/>
        <v>0</v>
      </c>
      <c r="H96" s="237"/>
    </row>
    <row r="97" spans="2:8" x14ac:dyDescent="0.25">
      <c r="B97" s="145"/>
      <c r="C97" s="107" t="str">
        <f t="shared" si="0"/>
        <v/>
      </c>
      <c r="D97" s="21"/>
      <c r="E97" s="171"/>
      <c r="F97" s="171"/>
      <c r="G97" s="105">
        <f t="shared" si="1"/>
        <v>0</v>
      </c>
      <c r="H97" s="237"/>
    </row>
    <row r="98" spans="2:8" x14ac:dyDescent="0.25">
      <c r="B98" s="145"/>
      <c r="C98" s="107" t="str">
        <f t="shared" si="0"/>
        <v/>
      </c>
      <c r="D98" s="21"/>
      <c r="E98" s="171"/>
      <c r="F98" s="171"/>
      <c r="G98" s="105">
        <f t="shared" si="1"/>
        <v>0</v>
      </c>
      <c r="H98" s="237"/>
    </row>
    <row r="99" spans="2:8" x14ac:dyDescent="0.25">
      <c r="B99" s="145"/>
      <c r="C99" s="107" t="str">
        <f t="shared" si="0"/>
        <v/>
      </c>
      <c r="D99" s="21"/>
      <c r="E99" s="171"/>
      <c r="F99" s="171"/>
      <c r="G99" s="105">
        <f t="shared" si="1"/>
        <v>0</v>
      </c>
      <c r="H99" s="237"/>
    </row>
    <row r="100" spans="2:8" x14ac:dyDescent="0.25">
      <c r="B100" s="145"/>
      <c r="C100" s="107" t="str">
        <f t="shared" si="0"/>
        <v/>
      </c>
      <c r="D100" s="21"/>
      <c r="E100" s="171"/>
      <c r="F100" s="171"/>
      <c r="G100" s="105">
        <f t="shared" si="1"/>
        <v>0</v>
      </c>
      <c r="H100" s="237"/>
    </row>
    <row r="101" spans="2:8" x14ac:dyDescent="0.25">
      <c r="B101" s="145"/>
      <c r="C101" s="107" t="str">
        <f t="shared" si="0"/>
        <v/>
      </c>
      <c r="D101" s="21"/>
      <c r="E101" s="171"/>
      <c r="F101" s="171"/>
      <c r="G101" s="105">
        <f t="shared" si="1"/>
        <v>0</v>
      </c>
      <c r="H101" s="237"/>
    </row>
    <row r="102" spans="2:8" x14ac:dyDescent="0.25">
      <c r="B102" s="145"/>
      <c r="C102" s="107" t="str">
        <f t="shared" si="0"/>
        <v/>
      </c>
      <c r="D102" s="21"/>
      <c r="E102" s="171"/>
      <c r="F102" s="171"/>
      <c r="G102" s="105">
        <f t="shared" si="1"/>
        <v>0</v>
      </c>
      <c r="H102" s="237"/>
    </row>
    <row r="103" spans="2:8" x14ac:dyDescent="0.25">
      <c r="B103" s="145"/>
      <c r="C103" s="107" t="str">
        <f t="shared" si="0"/>
        <v/>
      </c>
      <c r="D103" s="21"/>
      <c r="E103" s="171"/>
      <c r="F103" s="171"/>
      <c r="G103" s="105">
        <f t="shared" si="1"/>
        <v>0</v>
      </c>
      <c r="H103" s="237"/>
    </row>
    <row r="104" spans="2:8" x14ac:dyDescent="0.25">
      <c r="B104" s="145"/>
      <c r="C104" s="107" t="str">
        <f t="shared" si="0"/>
        <v/>
      </c>
      <c r="D104" s="21"/>
      <c r="E104" s="171"/>
      <c r="F104" s="171"/>
      <c r="G104" s="105">
        <f t="shared" si="1"/>
        <v>0</v>
      </c>
      <c r="H104" s="237"/>
    </row>
    <row r="105" spans="2:8" x14ac:dyDescent="0.25">
      <c r="B105" s="145"/>
      <c r="C105" s="107" t="str">
        <f t="shared" si="0"/>
        <v/>
      </c>
      <c r="D105" s="21"/>
      <c r="E105" s="171"/>
      <c r="F105" s="171"/>
      <c r="G105" s="105">
        <f t="shared" si="1"/>
        <v>0</v>
      </c>
      <c r="H105" s="237"/>
    </row>
    <row r="106" spans="2:8" x14ac:dyDescent="0.25">
      <c r="B106" s="145"/>
      <c r="C106" s="107" t="str">
        <f t="shared" si="0"/>
        <v/>
      </c>
      <c r="D106" s="21"/>
      <c r="E106" s="171"/>
      <c r="F106" s="171"/>
      <c r="G106" s="105">
        <f t="shared" si="1"/>
        <v>0</v>
      </c>
      <c r="H106" s="237"/>
    </row>
    <row r="107" spans="2:8" x14ac:dyDescent="0.25">
      <c r="B107" s="145"/>
      <c r="C107" s="107" t="str">
        <f t="shared" si="0"/>
        <v/>
      </c>
      <c r="D107" s="21"/>
      <c r="E107" s="171"/>
      <c r="F107" s="171"/>
      <c r="G107" s="105">
        <f t="shared" si="1"/>
        <v>0</v>
      </c>
      <c r="H107" s="237"/>
    </row>
    <row r="108" spans="2:8" x14ac:dyDescent="0.25">
      <c r="B108" s="145"/>
      <c r="C108" s="107" t="str">
        <f t="shared" si="0"/>
        <v/>
      </c>
      <c r="D108" s="21"/>
      <c r="E108" s="171"/>
      <c r="F108" s="171"/>
      <c r="G108" s="105">
        <f t="shared" si="1"/>
        <v>0</v>
      </c>
      <c r="H108" s="237"/>
    </row>
    <row r="109" spans="2:8" x14ac:dyDescent="0.25">
      <c r="B109" s="145"/>
      <c r="C109" s="107" t="str">
        <f t="shared" si="0"/>
        <v/>
      </c>
      <c r="D109" s="21"/>
      <c r="E109" s="171"/>
      <c r="F109" s="171"/>
      <c r="G109" s="105">
        <f t="shared" si="1"/>
        <v>0</v>
      </c>
      <c r="H109" s="237"/>
    </row>
    <row r="110" spans="2:8" x14ac:dyDescent="0.25">
      <c r="B110" s="145"/>
      <c r="C110" s="107" t="str">
        <f t="shared" si="0"/>
        <v/>
      </c>
      <c r="D110" s="21"/>
      <c r="E110" s="171"/>
      <c r="F110" s="171"/>
      <c r="G110" s="105">
        <f t="shared" si="1"/>
        <v>0</v>
      </c>
      <c r="H110" s="237"/>
    </row>
    <row r="111" spans="2:8" x14ac:dyDescent="0.25">
      <c r="B111" s="145"/>
      <c r="C111" s="107" t="str">
        <f t="shared" si="0"/>
        <v/>
      </c>
      <c r="D111" s="21"/>
      <c r="E111" s="171"/>
      <c r="F111" s="171"/>
      <c r="G111" s="105">
        <f t="shared" si="1"/>
        <v>0</v>
      </c>
      <c r="H111" s="237"/>
    </row>
    <row r="112" spans="2:8" x14ac:dyDescent="0.25">
      <c r="B112" s="145"/>
      <c r="C112" s="107" t="str">
        <f t="shared" si="0"/>
        <v/>
      </c>
      <c r="D112" s="21"/>
      <c r="E112" s="171"/>
      <c r="F112" s="171"/>
      <c r="G112" s="105">
        <f t="shared" si="1"/>
        <v>0</v>
      </c>
      <c r="H112" s="237"/>
    </row>
    <row r="114" spans="6:7" ht="15" customHeight="1" x14ac:dyDescent="0.25">
      <c r="F114" s="146" t="s">
        <v>45</v>
      </c>
      <c r="G114" s="147">
        <f>SUM(G4:G112)</f>
        <v>1.114583333333333</v>
      </c>
    </row>
    <row r="115" spans="6:7" ht="15" customHeight="1" x14ac:dyDescent="0.25">
      <c r="F115" s="146" t="s">
        <v>46</v>
      </c>
      <c r="G115" s="147">
        <f>SUMIF($C$4:$C$112,18,$G$4:$G$112)</f>
        <v>0.86458333333333326</v>
      </c>
    </row>
    <row r="116" spans="6:7" ht="15" customHeight="1" x14ac:dyDescent="0.25">
      <c r="F116" s="146" t="s">
        <v>47</v>
      </c>
      <c r="G116" s="147">
        <f>SUMIF($C$4:$C$112,19,$G$4:$G$112)</f>
        <v>0.24999999999999983</v>
      </c>
    </row>
    <row r="117" spans="6:7" ht="15" customHeight="1" x14ac:dyDescent="0.25">
      <c r="F117" s="146" t="s">
        <v>48</v>
      </c>
      <c r="G117" s="147">
        <f>SUMIF($C$4:$C$112,20,$G$4:$G$112)</f>
        <v>0</v>
      </c>
    </row>
    <row r="118" spans="6:7" ht="15" customHeight="1" x14ac:dyDescent="0.25">
      <c r="F118" s="146" t="s">
        <v>49</v>
      </c>
      <c r="G118" s="147">
        <f>SUMIF($C$4:$C$112,21,$G$4:$G$112)</f>
        <v>0</v>
      </c>
    </row>
    <row r="119" spans="6:7" ht="15" customHeight="1" x14ac:dyDescent="0.25">
      <c r="F119" s="146" t="s">
        <v>50</v>
      </c>
      <c r="G119" s="147">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zoomScale="85" zoomScaleNormal="85" workbookViewId="0">
      <selection activeCell="K21" sqref="K21"/>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129</v>
      </c>
      <c r="D1" s="199">
        <f ca="1">TODAY()</f>
        <v>44326</v>
      </c>
    </row>
    <row r="2" spans="2:4" ht="29.25" customHeight="1" thickBot="1" x14ac:dyDescent="0.3">
      <c r="B2" s="234" t="s">
        <v>43</v>
      </c>
      <c r="C2" s="234"/>
      <c r="D2" s="234"/>
    </row>
    <row r="3" spans="2:4" s="100" customFormat="1" x14ac:dyDescent="0.25">
      <c r="B3" s="135" t="s">
        <v>38</v>
      </c>
      <c r="C3" s="135" t="s">
        <v>29</v>
      </c>
      <c r="D3" s="106" t="s">
        <v>39</v>
      </c>
    </row>
    <row r="4" spans="2:4" x14ac:dyDescent="0.25">
      <c r="B4" s="141" t="str">
        <f>Base!I4</f>
        <v>101 planification initiale</v>
      </c>
      <c r="C4" s="136">
        <f>SUMIF(Journal!$D$4:$D$112,B4,Journal!$G$4:$G$112)</f>
        <v>3.125E-2</v>
      </c>
      <c r="D4" s="142" t="s">
        <v>107</v>
      </c>
    </row>
    <row r="5" spans="2:4" x14ac:dyDescent="0.25">
      <c r="B5" s="141" t="str">
        <f>Base!I5</f>
        <v>102 objectifs du projet</v>
      </c>
      <c r="C5" s="136">
        <f>SUMIF(Journal!$D$4:$D$112,B5,Journal!$G$4:$G$112)</f>
        <v>1.736111111111116E-2</v>
      </c>
      <c r="D5" s="142" t="s">
        <v>107</v>
      </c>
    </row>
    <row r="6" spans="2:4" x14ac:dyDescent="0.25">
      <c r="B6" s="141" t="str">
        <f>Base!I6</f>
        <v>103 introduction du projet</v>
      </c>
      <c r="C6" s="136">
        <f>SUMIF(Journal!$D$4:$D$112,B6,Journal!$G$4:$G$112)</f>
        <v>1.388888888888884E-2</v>
      </c>
      <c r="D6" s="142" t="s">
        <v>107</v>
      </c>
    </row>
    <row r="7" spans="2:4" x14ac:dyDescent="0.25">
      <c r="B7" s="141" t="str">
        <f>Base!I7</f>
        <v>104 découpage du projet en tâches distinctes</v>
      </c>
      <c r="C7" s="136">
        <f>SUMIF(Journal!$D$4:$D$112,B7,Journal!$G$4:$G$112)</f>
        <v>4.1666666666666685E-2</v>
      </c>
      <c r="D7" s="142" t="s">
        <v>107</v>
      </c>
    </row>
    <row r="8" spans="2:4" x14ac:dyDescent="0.25">
      <c r="B8" s="141" t="str">
        <f>Base!I8</f>
        <v>105 -</v>
      </c>
      <c r="C8" s="136">
        <f>SUMIF(Journal!$D$4:$D$112,B8,Journal!$G$4:$G$112)</f>
        <v>0</v>
      </c>
      <c r="D8" s="142"/>
    </row>
    <row r="9" spans="2:4" x14ac:dyDescent="0.25">
      <c r="B9" s="141" t="str">
        <f>Base!I9</f>
        <v>106 -</v>
      </c>
      <c r="C9" s="136">
        <f>SUMIF(Journal!$D$4:$D$112,B9,Journal!$G$4:$G$112)</f>
        <v>0</v>
      </c>
      <c r="D9" s="142"/>
    </row>
    <row r="10" spans="2:4" x14ac:dyDescent="0.25">
      <c r="B10" s="141" t="str">
        <f>Base!I10</f>
        <v>201 choix de l'architecture</v>
      </c>
      <c r="C10" s="136">
        <f>SUMIF(Journal!$D$4:$D$112,B10,Journal!$G$4:$G$112)</f>
        <v>1.736111111111116E-2</v>
      </c>
      <c r="D10" s="142" t="s">
        <v>107</v>
      </c>
    </row>
    <row r="11" spans="2:4" x14ac:dyDescent="0.25">
      <c r="B11" s="141" t="str">
        <f>Base!I11</f>
        <v>202 modélisation conceptuelle de la BDD</v>
      </c>
      <c r="C11" s="136">
        <f>SUMIF(Journal!$D$4:$D$112,B11,Journal!$G$4:$G$112)</f>
        <v>5.5555555555555525E-2</v>
      </c>
      <c r="D11" s="142" t="s">
        <v>107</v>
      </c>
    </row>
    <row r="12" spans="2:4" x14ac:dyDescent="0.25">
      <c r="B12" s="141" t="str">
        <f>Base!I12</f>
        <v>203 modélisation logique de la BDD</v>
      </c>
      <c r="C12" s="136">
        <f>SUMIF(Journal!$D$4:$D$112,B12,Journal!$G$4:$G$112)</f>
        <v>3.472222222222221E-2</v>
      </c>
      <c r="D12" s="142" t="s">
        <v>107</v>
      </c>
    </row>
    <row r="13" spans="2:4" x14ac:dyDescent="0.25">
      <c r="B13" s="141" t="str">
        <f>Base!I13</f>
        <v>204 maquettes de l'application</v>
      </c>
      <c r="C13" s="136">
        <f>SUMIF(Journal!$D$4:$D$112,B13,Journal!$G$4:$G$112)</f>
        <v>0.10069444444444453</v>
      </c>
      <c r="D13" s="142" t="s">
        <v>107</v>
      </c>
    </row>
    <row r="14" spans="2:4" x14ac:dyDescent="0.25">
      <c r="B14" s="141" t="str">
        <f>Base!I14</f>
        <v>205 diagrammes de flux</v>
      </c>
      <c r="C14" s="136">
        <f>SUMIF(Journal!$D$4:$D$112,B14,Journal!$G$4:$G$112)</f>
        <v>1.3888888888888895E-2</v>
      </c>
      <c r="D14" s="142"/>
    </row>
    <row r="15" spans="2:4" x14ac:dyDescent="0.25">
      <c r="B15" s="141" t="str">
        <f>Base!I15</f>
        <v>206 cas d'utilisation de l'application</v>
      </c>
      <c r="C15" s="136">
        <f>SUMIF(Journal!$D$4:$D$112,B15,Journal!$G$4:$G$112)</f>
        <v>3.1249999999999944E-2</v>
      </c>
      <c r="D15" s="142" t="s">
        <v>107</v>
      </c>
    </row>
    <row r="16" spans="2:4" x14ac:dyDescent="0.25">
      <c r="B16" s="141" t="str">
        <f>Base!I16</f>
        <v>207 scénarios de l'application</v>
      </c>
      <c r="C16" s="136">
        <f>SUMIF(Journal!$D$4:$D$112,B16,Journal!$G$4:$G$112)</f>
        <v>8.3333333333333315E-2</v>
      </c>
      <c r="D16" s="142" t="s">
        <v>107</v>
      </c>
    </row>
    <row r="17" spans="2:4" x14ac:dyDescent="0.25">
      <c r="B17" s="141" t="str">
        <f>Base!I17</f>
        <v>208 diagrammes de classe</v>
      </c>
      <c r="C17" s="136">
        <f>SUMIF(Journal!$D$4:$D$112,B17,Journal!$G$4:$G$112)</f>
        <v>3.1250000000000056E-2</v>
      </c>
      <c r="D17" s="142" t="s">
        <v>107</v>
      </c>
    </row>
    <row r="18" spans="2:4" x14ac:dyDescent="0.25">
      <c r="B18" s="141" t="str">
        <f>Base!I18</f>
        <v>209 schéma de navigation de l'application</v>
      </c>
      <c r="C18" s="136">
        <f>SUMIF(Journal!$D$4:$D$112,B18,Journal!$G$4:$G$112)</f>
        <v>2.430555555555558E-2</v>
      </c>
      <c r="D18" s="142" t="s">
        <v>107</v>
      </c>
    </row>
    <row r="19" spans="2:4" x14ac:dyDescent="0.25">
      <c r="B19" s="141" t="str">
        <f>Base!I19</f>
        <v>210 fonctionnalités du projet</v>
      </c>
      <c r="C19" s="136">
        <f>SUMIF(Journal!$D$4:$D$112,B19,Journal!$G$4:$G$112)</f>
        <v>5.2083333333333315E-2</v>
      </c>
      <c r="D19" s="142" t="s">
        <v>107</v>
      </c>
    </row>
    <row r="20" spans="2:4" x14ac:dyDescent="0.25">
      <c r="B20" s="141" t="str">
        <f>Base!I20</f>
        <v>211 déclaration du cadre du projet</v>
      </c>
      <c r="C20" s="136">
        <f>SUMIF(Journal!$D$4:$D$112,B20,Journal!$G$4:$G$112)</f>
        <v>1.388888888888884E-2</v>
      </c>
      <c r="D20" s="142" t="s">
        <v>107</v>
      </c>
    </row>
    <row r="21" spans="2:4" x14ac:dyDescent="0.25">
      <c r="B21" s="141" t="str">
        <f>Base!I21</f>
        <v>212 risques techniques</v>
      </c>
      <c r="C21" s="136">
        <f>SUMIF(Journal!$D$4:$D$112,B21,Journal!$G$4:$G$112)</f>
        <v>0</v>
      </c>
      <c r="D21" s="142" t="s">
        <v>107</v>
      </c>
    </row>
    <row r="22" spans="2:4" x14ac:dyDescent="0.25">
      <c r="B22" s="141" t="str">
        <f>Base!I22</f>
        <v>213 planification définitive</v>
      </c>
      <c r="C22" s="136">
        <f>SUMIF(Journal!$D$4:$D$112,B22,Journal!$G$4:$G$112)</f>
        <v>1.7361111111111049E-2</v>
      </c>
      <c r="D22" s="142" t="s">
        <v>107</v>
      </c>
    </row>
    <row r="23" spans="2:4" x14ac:dyDescent="0.25">
      <c r="B23" s="141" t="str">
        <f>Base!I23</f>
        <v>214 recherche sur l'impression depuis l'application</v>
      </c>
      <c r="C23" s="136">
        <f>SUMIF(Journal!$D$4:$D$112,B23,Journal!$G$4:$G$112)</f>
        <v>0</v>
      </c>
      <c r="D23" s="142"/>
    </row>
    <row r="24" spans="2:4" x14ac:dyDescent="0.25">
      <c r="B24" s="141" t="str">
        <f>Base!I24</f>
        <v>215 matériel hardware et software</v>
      </c>
      <c r="C24" s="136">
        <f>SUMIF(Journal!$D$4:$D$112,B24,Journal!$G$4:$G$112)</f>
        <v>2.083333333333337E-2</v>
      </c>
      <c r="D24" s="142" t="s">
        <v>107</v>
      </c>
    </row>
    <row r="25" spans="2:4" x14ac:dyDescent="0.25">
      <c r="B25" s="141" t="str">
        <f>Base!I25</f>
        <v>216 -</v>
      </c>
      <c r="C25" s="136">
        <f>SUMIF(Journal!$D$4:$D$112,B25,Journal!$G$4:$G$112)</f>
        <v>0</v>
      </c>
      <c r="D25" s="142"/>
    </row>
    <row r="26" spans="2:4" x14ac:dyDescent="0.25">
      <c r="B26" s="141" t="str">
        <f>Base!I26</f>
        <v>300 mise en place de la BDD</v>
      </c>
      <c r="C26" s="136">
        <f>SUMIF(Journal!$D$4:$D$112,B26,Journal!$G$4:$G$112)</f>
        <v>5.2083333333333315E-2</v>
      </c>
      <c r="D26" s="142" t="s">
        <v>103</v>
      </c>
    </row>
    <row r="27" spans="2:4" x14ac:dyDescent="0.25">
      <c r="B27" s="141" t="str">
        <f>Base!I27</f>
        <v>301 réaliser la partie graphique de l'application</v>
      </c>
      <c r="C27" s="136">
        <f>SUMIF(Journal!$D$4:$D$112,B27,Journal!$G$4:$G$112)</f>
        <v>0.10763888888888878</v>
      </c>
      <c r="D27" s="142" t="s">
        <v>107</v>
      </c>
    </row>
    <row r="28" spans="2:4" x14ac:dyDescent="0.25">
      <c r="B28" s="141" t="str">
        <f>Base!I28</f>
        <v>302 mettre en place la connexion à la BDD</v>
      </c>
      <c r="C28" s="136">
        <f>SUMIF(Journal!$D$4:$D$112,B28,Journal!$G$4:$G$112)</f>
        <v>1.3888888888888951E-2</v>
      </c>
      <c r="D28" s="142" t="s">
        <v>103</v>
      </c>
    </row>
    <row r="29" spans="2:4" x14ac:dyDescent="0.25">
      <c r="B29" s="141" t="str">
        <f>Base!I29</f>
        <v>303 mettre en place la classe "bouteille"</v>
      </c>
      <c r="C29" s="136">
        <f>SUMIF(Journal!$D$4:$D$112,B29,Journal!$G$4:$G$112)</f>
        <v>4.5138888888888729E-2</v>
      </c>
      <c r="D29" s="142" t="s">
        <v>103</v>
      </c>
    </row>
    <row r="30" spans="2:4" x14ac:dyDescent="0.25">
      <c r="B30" s="141" t="str">
        <f>Base!I30</f>
        <v>304 mettre en place la classe "casier"</v>
      </c>
      <c r="C30" s="136">
        <f>SUMIF(Journal!$D$4:$D$112,B30,Journal!$G$4:$G$112)</f>
        <v>0</v>
      </c>
      <c r="D30" s="142"/>
    </row>
    <row r="31" spans="2:4" x14ac:dyDescent="0.25">
      <c r="B31" s="141" t="str">
        <f>Base!I31</f>
        <v>305 implémenter l'ajout de bouteilles</v>
      </c>
      <c r="C31" s="136">
        <f>SUMIF(Journal!$D$4:$D$112,B31,Journal!$G$4:$G$112)</f>
        <v>0</v>
      </c>
      <c r="D31" s="142"/>
    </row>
    <row r="32" spans="2:4" x14ac:dyDescent="0.25">
      <c r="B32" s="141" t="str">
        <f>Base!I32</f>
        <v>306 implémenter le retrait de bouteilles</v>
      </c>
      <c r="C32" s="136">
        <f>SUMIF(Journal!$D$4:$D$112,B32,Journal!$G$4:$G$112)</f>
        <v>0</v>
      </c>
      <c r="D32" s="142"/>
    </row>
    <row r="33" spans="2:4" x14ac:dyDescent="0.25">
      <c r="B33" s="141" t="str">
        <f>Base!I33</f>
        <v>307 implémenter l'historisation des actions effectuées</v>
      </c>
      <c r="C33" s="136">
        <f>SUMIF(Journal!$D$4:$D$112,B33,Journal!$G$4:$G$112)</f>
        <v>0</v>
      </c>
      <c r="D33" s="142"/>
    </row>
    <row r="34" spans="2:4" x14ac:dyDescent="0.25">
      <c r="B34" s="141" t="str">
        <f>Base!I34</f>
        <v>308 implémenter la recherche par mot-clé</v>
      </c>
      <c r="C34" s="136">
        <f>SUMIF(Journal!$D$4:$D$112,B34,Journal!$G$4:$G$112)</f>
        <v>0</v>
      </c>
      <c r="D34" s="142"/>
    </row>
    <row r="35" spans="2:4" x14ac:dyDescent="0.25">
      <c r="B35" s="141" t="str">
        <f>Base!I35</f>
        <v>309 implémenter la recherche par couleur de robe</v>
      </c>
      <c r="C35" s="136">
        <f>SUMIF(Journal!$D$4:$D$112,B35,Journal!$G$4:$G$112)</f>
        <v>0</v>
      </c>
      <c r="D35" s="142"/>
    </row>
    <row r="36" spans="2:4" x14ac:dyDescent="0.25">
      <c r="B36" s="141" t="str">
        <f>Base!I36</f>
        <v>310 implémenter la recherche par cépage</v>
      </c>
      <c r="C36" s="136">
        <f>SUMIF(Journal!$D$4:$D$112,B36,Journal!$G$4:$G$112)</f>
        <v>0</v>
      </c>
      <c r="D36" s="142"/>
    </row>
    <row r="37" spans="2:4" x14ac:dyDescent="0.25">
      <c r="B37" s="141" t="str">
        <f>Base!I37</f>
        <v>311 implémenter la recherche par producteur</v>
      </c>
      <c r="C37" s="136">
        <f>SUMIF(Journal!$D$4:$D$112,B37,Journal!$G$4:$G$112)</f>
        <v>0</v>
      </c>
      <c r="D37" s="142"/>
    </row>
    <row r="38" spans="2:4" x14ac:dyDescent="0.25">
      <c r="B38" s="141" t="str">
        <f>Base!I38</f>
        <v>312 implémenter la recherche par pays</v>
      </c>
      <c r="C38" s="136">
        <f>SUMIF(Journal!$D$4:$D$112,B38,Journal!$G$4:$G$112)</f>
        <v>0</v>
      </c>
      <c r="D38" s="142"/>
    </row>
    <row r="39" spans="2:4" x14ac:dyDescent="0.25">
      <c r="B39" s="141" t="str">
        <f>Base!I39</f>
        <v>313 implémenter l'export d'une liste triée par PDF</v>
      </c>
      <c r="C39" s="136">
        <f>SUMIF(Journal!$D$4:$D$112,B39,Journal!$G$4:$G$112)</f>
        <v>0</v>
      </c>
      <c r="D39" s="142"/>
    </row>
    <row r="40" spans="2:4" x14ac:dyDescent="0.25">
      <c r="B40" s="141" t="str">
        <f>Base!I40</f>
        <v>314 implémenter l'ajout de casiers</v>
      </c>
      <c r="C40" s="136">
        <f>SUMIF(Journal!$D$4:$D$112,B40,Journal!$G$4:$G$112)</f>
        <v>0</v>
      </c>
      <c r="D40" s="142"/>
    </row>
    <row r="41" spans="2:4" x14ac:dyDescent="0.25">
      <c r="B41" s="141" t="str">
        <f>Base!I41</f>
        <v>315 implémenter le retrait de casiers</v>
      </c>
      <c r="C41" s="136">
        <f>SUMIF(Journal!$D$4:$D$112,B41,Journal!$G$4:$G$112)</f>
        <v>0</v>
      </c>
      <c r="D41" s="142"/>
    </row>
    <row r="42" spans="2:4" x14ac:dyDescent="0.25">
      <c r="B42" s="141" t="str">
        <f>Base!I42</f>
        <v>316 implémenter une alerte sur éléments spécifiques</v>
      </c>
      <c r="C42" s="136">
        <f>SUMIF(Journal!$D$4:$D$112,B42,Journal!$G$4:$G$112)</f>
        <v>0</v>
      </c>
      <c r="D42" s="142"/>
    </row>
    <row r="43" spans="2:4" x14ac:dyDescent="0.25">
      <c r="B43" s="141" t="str">
        <f>Base!I43</f>
        <v>317 implémenter l'impression d'une liste triée</v>
      </c>
      <c r="C43" s="136">
        <f>SUMIF(Journal!$D$4:$D$112,B43,Journal!$G$4:$G$112)</f>
        <v>0</v>
      </c>
      <c r="D43" s="142"/>
    </row>
    <row r="44" spans="2:4" x14ac:dyDescent="0.25">
      <c r="B44" s="141" t="str">
        <f>Base!I44</f>
        <v>318 mettre en place la classe "alerte"</v>
      </c>
      <c r="C44" s="136">
        <f>SUMIF(Journal!$D$4:$D$112,B44,Journal!$G$4:$G$112)</f>
        <v>0</v>
      </c>
      <c r="D44" s="142"/>
    </row>
    <row r="45" spans="2:4" x14ac:dyDescent="0.25">
      <c r="B45" s="141" t="str">
        <f>Base!I45</f>
        <v>319 mettre en place la classe "logs"</v>
      </c>
      <c r="C45" s="136">
        <f>SUMIF(Journal!$D$4:$D$112,B45,Journal!$G$4:$G$112)</f>
        <v>0</v>
      </c>
      <c r="D45" s="142"/>
    </row>
    <row r="46" spans="2:4" x14ac:dyDescent="0.25">
      <c r="B46" s="141" t="str">
        <f>Base!I46</f>
        <v xml:space="preserve">320 - </v>
      </c>
      <c r="C46" s="136">
        <f>SUMIF(Journal!$D$4:$D$112,B46,Journal!$G$4:$G$112)</f>
        <v>0</v>
      </c>
      <c r="D46" s="142"/>
    </row>
    <row r="47" spans="2:4" x14ac:dyDescent="0.25">
      <c r="B47" s="141" t="str">
        <f>Base!I47</f>
        <v xml:space="preserve">321 - </v>
      </c>
      <c r="C47" s="136">
        <f>SUMIF(Journal!$D$4:$D$112,B47,Journal!$G$4:$G$112)</f>
        <v>0</v>
      </c>
      <c r="D47" s="142"/>
    </row>
    <row r="48" spans="2:4" x14ac:dyDescent="0.25">
      <c r="B48" s="141" t="str">
        <f>Base!I48</f>
        <v xml:space="preserve">322 - </v>
      </c>
      <c r="C48" s="136">
        <f>SUMIF(Journal!$D$4:$D$112,B48,Journal!$G$4:$G$112)</f>
        <v>0</v>
      </c>
      <c r="D48" s="142"/>
    </row>
    <row r="49" spans="2:4" x14ac:dyDescent="0.25">
      <c r="B49" s="141" t="str">
        <f>Base!I49</f>
        <v>401 mise en forme du rapport de projet</v>
      </c>
      <c r="C49" s="136">
        <f>SUMIF(Journal!$D$4:$D$112,B49,Journal!$G$4:$G$112)</f>
        <v>0.15972222222222204</v>
      </c>
      <c r="D49" s="142" t="s">
        <v>103</v>
      </c>
    </row>
    <row r="50" spans="2:4" x14ac:dyDescent="0.25">
      <c r="B50" s="141" t="str">
        <f>Base!I50</f>
        <v>402 journal de travail</v>
      </c>
      <c r="C50" s="136">
        <f>SUMIF(Journal!$D$4:$D$112,B50,Journal!$G$4:$G$112)</f>
        <v>1.041666666666663E-2</v>
      </c>
      <c r="D50" s="142" t="s">
        <v>103</v>
      </c>
    </row>
    <row r="51" spans="2:4" x14ac:dyDescent="0.25">
      <c r="B51" s="141" t="str">
        <f>Base!I51</f>
        <v>403 procédure d'installation</v>
      </c>
      <c r="C51" s="136">
        <f>SUMIF(Journal!$D$4:$D$112,B51,Journal!$G$4:$G$112)</f>
        <v>0</v>
      </c>
      <c r="D51" s="142"/>
    </row>
    <row r="52" spans="2:4" x14ac:dyDescent="0.25">
      <c r="B52" s="141" t="str">
        <f>Base!I52</f>
        <v>404 stratégie de test</v>
      </c>
      <c r="C52" s="136">
        <f>SUMIF(Journal!$D$4:$D$112,B52,Journal!$G$4:$G$112)</f>
        <v>0</v>
      </c>
      <c r="D52" s="142" t="s">
        <v>107</v>
      </c>
    </row>
    <row r="53" spans="2:4" x14ac:dyDescent="0.25">
      <c r="B53" s="141" t="str">
        <f>Base!I53</f>
        <v>405 mise en place du GitHub</v>
      </c>
      <c r="C53" s="136">
        <f>SUMIF(Journal!$D$4:$D$112,B53,Journal!$G$4:$G$112)</f>
        <v>2.4305555555555636E-2</v>
      </c>
      <c r="D53" s="142" t="s">
        <v>107</v>
      </c>
    </row>
    <row r="54" spans="2:4" x14ac:dyDescent="0.25">
      <c r="B54" s="141" t="str">
        <f>Base!I54</f>
        <v>406 envoi de l'avancée au CdP et aux experts</v>
      </c>
      <c r="C54" s="136">
        <f>SUMIF(Journal!$D$4:$D$112,B54,Journal!$G$4:$G$112)</f>
        <v>1.3888888888888951E-2</v>
      </c>
      <c r="D54" s="142"/>
    </row>
    <row r="55" spans="2:4" x14ac:dyDescent="0.25">
      <c r="B55" s="141" t="str">
        <f>Base!I55</f>
        <v>501 réalisation des tests unitaires</v>
      </c>
      <c r="C55" s="136">
        <f>SUMIF(Journal!$D$4:$D$112,B55,Journal!$G$4:$G$112)</f>
        <v>0</v>
      </c>
      <c r="D55" s="142"/>
    </row>
    <row r="56" spans="2:4" x14ac:dyDescent="0.25">
      <c r="B56" s="141" t="str">
        <f>Base!I56</f>
        <v>502 réalisation des tests d'intégration</v>
      </c>
      <c r="C56" s="136">
        <f>SUMIF(Journal!$D$4:$D$112,B56,Journal!$G$4:$G$112)</f>
        <v>0</v>
      </c>
      <c r="D56" s="142"/>
    </row>
    <row r="57" spans="2:4" x14ac:dyDescent="0.25">
      <c r="B57" s="141" t="str">
        <f>Base!I57</f>
        <v>503 réalisation des tests fonctionnels</v>
      </c>
      <c r="C57" s="136">
        <f>SUMIF(Journal!$D$4:$D$112,B57,Journal!$G$4:$G$112)</f>
        <v>0</v>
      </c>
      <c r="D57" s="142"/>
    </row>
    <row r="58" spans="2:4" x14ac:dyDescent="0.25">
      <c r="B58" s="141" t="str">
        <f>Base!I58</f>
        <v>504 mise en forme des résultats des tests</v>
      </c>
      <c r="C58" s="136">
        <f>SUMIF(Journal!$D$4:$D$112,B58,Journal!$G$4:$G$112)</f>
        <v>0</v>
      </c>
      <c r="D58" s="142"/>
    </row>
    <row r="59" spans="2:4" x14ac:dyDescent="0.25">
      <c r="B59" s="141" t="str">
        <f>Base!I59</f>
        <v>505 -</v>
      </c>
      <c r="C59" s="136">
        <f>SUMIF(Journal!$D$4:$D$112,B59,Journal!$G$4:$G$112)</f>
        <v>0</v>
      </c>
      <c r="D59" s="142"/>
    </row>
    <row r="60" spans="2:4" x14ac:dyDescent="0.25">
      <c r="B60" s="141" t="str">
        <f>Base!I60</f>
        <v>506 -</v>
      </c>
      <c r="C60" s="136">
        <f>SUMIF(Journal!$D$4:$D$112,B60,Journal!$G$4:$G$112)</f>
        <v>0</v>
      </c>
      <c r="D60" s="142"/>
    </row>
    <row r="61" spans="2:4" x14ac:dyDescent="0.25">
      <c r="B61" s="141" t="str">
        <f>Base!I61</f>
        <v>601 réunion avec monsieur C.Egger, CdP</v>
      </c>
      <c r="C61" s="136">
        <f>SUMIF(Journal!$D$4:$D$112,B61,Journal!$G$4:$G$112)</f>
        <v>1.736111111111116E-2</v>
      </c>
      <c r="D61" s="142"/>
    </row>
    <row r="62" spans="2:4" x14ac:dyDescent="0.25">
      <c r="B62" s="141" t="str">
        <f>Base!I62</f>
        <v>602 réunion avec monsieur G.Gruaz, expert 1</v>
      </c>
      <c r="C62" s="136">
        <f>SUMIF(Journal!$D$4:$D$112,B62,Journal!$G$4:$G$112)</f>
        <v>1.736111111111116E-2</v>
      </c>
      <c r="D62" s="142"/>
    </row>
    <row r="63" spans="2:4" x14ac:dyDescent="0.25">
      <c r="B63" s="141" t="str">
        <f>Base!I63</f>
        <v>603 réunion avec monsieur A.Roy, expert 2</v>
      </c>
      <c r="C63" s="136">
        <f>SUMIF(Journal!$D$4:$D$112,B63,Journal!$G$4:$G$112)</f>
        <v>0</v>
      </c>
      <c r="D63" s="142"/>
    </row>
    <row r="64" spans="2:4" x14ac:dyDescent="0.25">
      <c r="B64" s="141" t="str">
        <f>Base!I64</f>
        <v>604 réunion avec une personne extérieure</v>
      </c>
      <c r="C64" s="136">
        <f>SUMIF(Journal!$D$4:$D$112,B64,Journal!$G$4:$G$112)</f>
        <v>1.3888888888888895E-2</v>
      </c>
      <c r="D64" s="142"/>
    </row>
    <row r="65" spans="2:4" x14ac:dyDescent="0.25">
      <c r="B65" s="141" t="str">
        <f>Base!I65</f>
        <v>605 -</v>
      </c>
      <c r="C65" s="136">
        <f>SUMIF(Journal!$D$4:$D$112,B65,Journal!$G$4:$G$112)</f>
        <v>0</v>
      </c>
      <c r="D65" s="142"/>
    </row>
    <row r="66" spans="2:4" ht="15.75" thickBot="1" x14ac:dyDescent="0.3">
      <c r="B66" s="143" t="str">
        <f>Base!I66</f>
        <v>606 -</v>
      </c>
      <c r="C66" s="137">
        <f>SUMIF(Journal!$D$4:$D$112,B66,Journal!$G$4:$G$112)</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2021-05-06T13:46:12Z</cp:lastPrinted>
  <dcterms:created xsi:type="dcterms:W3CDTF">2015-01-22T08:10:30Z</dcterms:created>
  <dcterms:modified xsi:type="dcterms:W3CDTF">2021-05-10T14:50:40Z</dcterms:modified>
</cp:coreProperties>
</file>