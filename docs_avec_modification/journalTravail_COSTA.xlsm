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TPI_gestionCaveAVin\docs_avec_modification\"/>
    </mc:Choice>
  </mc:AlternateContent>
  <bookViews>
    <workbookView xWindow="1200" yWindow="30" windowWidth="24960" windowHeight="12750" activeTab="2"/>
  </bookViews>
  <sheets>
    <sheet name="Base" sheetId="7" r:id="rId1"/>
    <sheet name="Planif initiale" sheetId="8" r:id="rId2"/>
    <sheet name="Journal" sheetId="6" r:id="rId3"/>
    <sheet name="Avancée" sheetId="10" r:id="rId4"/>
  </sheets>
  <definedNames>
    <definedName name="listeTache" localSheetId="0">Base!$I$4:$I$25,Base!$I$26:$I$48,Base!$I$49:$I$66</definedName>
  </definedNames>
  <calcPr calcId="162913"/>
</workbook>
</file>

<file path=xl/calcChain.xml><?xml version="1.0" encoding="utf-8"?>
<calcChain xmlns="http://schemas.openxmlformats.org/spreadsheetml/2006/main">
  <c r="C5" i="10" l="1"/>
  <c r="H1" i="6" l="1"/>
  <c r="D1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4" i="6"/>
  <c r="B63" i="10" l="1"/>
  <c r="C63" i="10" s="1"/>
  <c r="B64" i="10"/>
  <c r="C64" i="10" s="1"/>
  <c r="B65" i="10"/>
  <c r="C65" i="10" s="1"/>
  <c r="B66" i="10"/>
  <c r="C66" i="10" s="1"/>
  <c r="B53" i="10"/>
  <c r="B54" i="10"/>
  <c r="C54" i="10" s="1"/>
  <c r="B55" i="10"/>
  <c r="C55" i="10" s="1"/>
  <c r="B56" i="10"/>
  <c r="C56" i="10" s="1"/>
  <c r="B57" i="10"/>
  <c r="C57" i="10" s="1"/>
  <c r="B58" i="10"/>
  <c r="C58" i="10" s="1"/>
  <c r="B59" i="10"/>
  <c r="C59" i="10" s="1"/>
  <c r="B60" i="10"/>
  <c r="C60" i="10" s="1"/>
  <c r="B61" i="10"/>
  <c r="B62" i="10"/>
  <c r="B50" i="10"/>
  <c r="B51" i="10"/>
  <c r="C51" i="10" s="1"/>
  <c r="B52" i="10"/>
  <c r="C52" i="10" s="1"/>
  <c r="B49" i="10"/>
  <c r="B46" i="10"/>
  <c r="C46" i="10" s="1"/>
  <c r="B47" i="10"/>
  <c r="C47" i="10" s="1"/>
  <c r="B48" i="10"/>
  <c r="C48" i="10" s="1"/>
  <c r="B27" i="10"/>
  <c r="C27" i="10" s="1"/>
  <c r="B28" i="10"/>
  <c r="C28" i="10" s="1"/>
  <c r="B29" i="10"/>
  <c r="C29" i="10" s="1"/>
  <c r="B30" i="10"/>
  <c r="C30" i="10" s="1"/>
  <c r="B31" i="10"/>
  <c r="C31" i="10" s="1"/>
  <c r="B32" i="10"/>
  <c r="C32" i="10" s="1"/>
  <c r="B33" i="10"/>
  <c r="C33" i="10" s="1"/>
  <c r="B34" i="10"/>
  <c r="C34" i="10" s="1"/>
  <c r="B35" i="10"/>
  <c r="C35" i="10" s="1"/>
  <c r="B36" i="10"/>
  <c r="C36" i="10" s="1"/>
  <c r="B37" i="10"/>
  <c r="C37" i="10" s="1"/>
  <c r="B38" i="10"/>
  <c r="C38" i="10" s="1"/>
  <c r="B39" i="10"/>
  <c r="C39" i="10" s="1"/>
  <c r="B40" i="10"/>
  <c r="C40" i="10" s="1"/>
  <c r="B41" i="10"/>
  <c r="C41" i="10" s="1"/>
  <c r="B42" i="10"/>
  <c r="C42" i="10" s="1"/>
  <c r="B43" i="10"/>
  <c r="C43" i="10" s="1"/>
  <c r="B44" i="10"/>
  <c r="C44" i="10" s="1"/>
  <c r="B45" i="10"/>
  <c r="C45" i="10" s="1"/>
  <c r="B26" i="10"/>
  <c r="C26" i="10" s="1"/>
  <c r="B4" i="10"/>
  <c r="B5" i="10"/>
  <c r="B6" i="10"/>
  <c r="B7" i="10"/>
  <c r="B8" i="10"/>
  <c r="C8" i="10" s="1"/>
  <c r="B9" i="10"/>
  <c r="C9" i="10" s="1"/>
  <c r="B10" i="10"/>
  <c r="B11" i="10"/>
  <c r="C11" i="10" s="1"/>
  <c r="B12" i="10"/>
  <c r="C12" i="10" s="1"/>
  <c r="B13" i="10"/>
  <c r="C13" i="10" s="1"/>
  <c r="B14" i="10"/>
  <c r="C14" i="10" s="1"/>
  <c r="B15" i="10"/>
  <c r="C15" i="10" s="1"/>
  <c r="B16" i="10"/>
  <c r="C16" i="10" s="1"/>
  <c r="B17" i="10"/>
  <c r="C17" i="10" s="1"/>
  <c r="B18" i="10"/>
  <c r="C18" i="10" s="1"/>
  <c r="B19" i="10"/>
  <c r="B20" i="10"/>
  <c r="C20" i="10" s="1"/>
  <c r="B21" i="10"/>
  <c r="C21" i="10" s="1"/>
  <c r="B22" i="10"/>
  <c r="C22" i="10" s="1"/>
  <c r="B23" i="10"/>
  <c r="C23" i="10" s="1"/>
  <c r="B24" i="10"/>
  <c r="C24" i="10" s="1"/>
  <c r="B25" i="10"/>
  <c r="C25" i="10" s="1"/>
  <c r="B75" i="8" l="1"/>
  <c r="B76" i="8"/>
  <c r="B77" i="8"/>
  <c r="B78" i="8"/>
  <c r="B79" i="8"/>
  <c r="B74" i="8"/>
  <c r="B53" i="8"/>
  <c r="B54" i="8"/>
  <c r="B55" i="8"/>
  <c r="B46" i="8"/>
  <c r="B47" i="8"/>
  <c r="B48" i="8"/>
  <c r="B49" i="8"/>
  <c r="B50" i="8"/>
  <c r="B51" i="8"/>
  <c r="B52" i="8"/>
  <c r="B34" i="8"/>
  <c r="B35" i="8"/>
  <c r="B36" i="8"/>
  <c r="B37" i="8"/>
  <c r="B38" i="8"/>
  <c r="B39" i="8"/>
  <c r="B40" i="8"/>
  <c r="B41" i="8"/>
  <c r="B42" i="8"/>
  <c r="B43" i="8"/>
  <c r="B44" i="8"/>
  <c r="B4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15" i="8"/>
  <c r="B7" i="8"/>
  <c r="B8" i="8"/>
  <c r="B9" i="8"/>
  <c r="B10" i="8"/>
  <c r="B11" i="8"/>
  <c r="B12" i="8"/>
  <c r="AG4" i="8"/>
  <c r="AO3" i="8" l="1"/>
  <c r="AT3" i="8" s="1"/>
  <c r="BC3" i="8" s="1"/>
  <c r="G7" i="6"/>
  <c r="G5" i="6"/>
  <c r="C61" i="10" s="1"/>
  <c r="G6" i="6"/>
  <c r="C7" i="10" s="1"/>
  <c r="G8" i="6"/>
  <c r="C4" i="10" s="1"/>
  <c r="G9" i="6"/>
  <c r="C53" i="10" s="1"/>
  <c r="G10" i="6"/>
  <c r="C49" i="10" s="1"/>
  <c r="G11" i="6"/>
  <c r="G12" i="6"/>
  <c r="C6" i="10" s="1"/>
  <c r="G13" i="6"/>
  <c r="G14" i="6"/>
  <c r="G15" i="6"/>
  <c r="G16" i="6"/>
  <c r="C19" i="10" s="1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4" i="6"/>
  <c r="C62" i="10" s="1"/>
  <c r="C50" i="10" l="1"/>
  <c r="C10" i="10"/>
  <c r="G54" i="6"/>
  <c r="C3" i="8"/>
  <c r="C4" i="8" s="1"/>
  <c r="H61" i="7"/>
  <c r="B72" i="8" s="1"/>
  <c r="H55" i="7"/>
  <c r="H49" i="7"/>
  <c r="H26" i="7"/>
  <c r="H10" i="7"/>
  <c r="H4" i="7"/>
  <c r="G58" i="6" l="1"/>
  <c r="G57" i="6"/>
  <c r="G56" i="6"/>
  <c r="G55" i="6"/>
  <c r="G59" i="6"/>
  <c r="K3" i="8"/>
  <c r="P3" i="8" s="1"/>
  <c r="Y3" i="8" s="1"/>
  <c r="B64" i="8"/>
  <c r="B56" i="8"/>
  <c r="B31" i="8"/>
  <c r="B13" i="8"/>
  <c r="B5" i="8"/>
  <c r="BC4" i="8" l="1"/>
  <c r="B33" i="8"/>
  <c r="B58" i="8"/>
  <c r="B59" i="8"/>
  <c r="B60" i="8"/>
  <c r="B61" i="8"/>
  <c r="B62" i="8"/>
  <c r="B63" i="8"/>
  <c r="B66" i="8"/>
  <c r="B67" i="8"/>
  <c r="B68" i="8"/>
  <c r="B69" i="8"/>
  <c r="B70" i="8"/>
  <c r="B71" i="8"/>
  <c r="BK3" i="8" l="1"/>
  <c r="BP3" i="8" s="1"/>
  <c r="BY3" i="8" s="1"/>
  <c r="CG3" i="8" s="1"/>
  <c r="CL3" i="8" l="1"/>
  <c r="CU3" i="8" s="1"/>
  <c r="DC3" i="8" s="1"/>
  <c r="DK3" i="8" l="1"/>
  <c r="DP3" i="8" s="1"/>
  <c r="DC4" i="8"/>
</calcChain>
</file>

<file path=xl/sharedStrings.xml><?xml version="1.0" encoding="utf-8"?>
<sst xmlns="http://schemas.openxmlformats.org/spreadsheetml/2006/main" count="149" uniqueCount="127">
  <si>
    <t>Date</t>
  </si>
  <si>
    <t>Remarques</t>
  </si>
  <si>
    <t>Nom</t>
  </si>
  <si>
    <t>Prénom</t>
  </si>
  <si>
    <t>Projet</t>
  </si>
  <si>
    <t>Activités</t>
  </si>
  <si>
    <t>Costa</t>
  </si>
  <si>
    <t>Paola</t>
  </si>
  <si>
    <t xml:space="preserve">semaine n° </t>
  </si>
  <si>
    <t>Semaine</t>
  </si>
  <si>
    <t>Journal de travail</t>
  </si>
  <si>
    <t>Partie</t>
  </si>
  <si>
    <t>505 -</t>
  </si>
  <si>
    <t>506 -</t>
  </si>
  <si>
    <t>605 -</t>
  </si>
  <si>
    <t>606 -</t>
  </si>
  <si>
    <t>Parties</t>
  </si>
  <si>
    <t>Analyse</t>
  </si>
  <si>
    <t>Conception</t>
  </si>
  <si>
    <t>Implémentation</t>
  </si>
  <si>
    <t>Documentation</t>
  </si>
  <si>
    <t xml:space="preserve">318 - </t>
  </si>
  <si>
    <t xml:space="preserve">319 - </t>
  </si>
  <si>
    <t xml:space="preserve">320 - </t>
  </si>
  <si>
    <t xml:space="preserve">321 - </t>
  </si>
  <si>
    <t xml:space="preserve">322 - </t>
  </si>
  <si>
    <t>Location Matériel</t>
  </si>
  <si>
    <t>215 -</t>
  </si>
  <si>
    <t>216 -</t>
  </si>
  <si>
    <t>Date :</t>
  </si>
  <si>
    <t>Heure de début</t>
  </si>
  <si>
    <t>Heure de fin</t>
  </si>
  <si>
    <t>Temps</t>
  </si>
  <si>
    <t>C.Egger</t>
  </si>
  <si>
    <t>Expert 1</t>
  </si>
  <si>
    <t>Chef de projet</t>
  </si>
  <si>
    <t>Expert 2</t>
  </si>
  <si>
    <t>Personne 1</t>
  </si>
  <si>
    <t>Personne 2</t>
  </si>
  <si>
    <t>Supervision du projet :</t>
  </si>
  <si>
    <t>Réunion</t>
  </si>
  <si>
    <t>Tâche</t>
  </si>
  <si>
    <t>État</t>
  </si>
  <si>
    <t>Date de fin</t>
  </si>
  <si>
    <t>Date de début</t>
  </si>
  <si>
    <t>16h05</t>
  </si>
  <si>
    <t>Avancée des différentes tâches du projet</t>
  </si>
  <si>
    <t>Test</t>
  </si>
  <si>
    <t xml:space="preserve">heures effectuées totales : </t>
  </si>
  <si>
    <t>heures effectuées semaine 18</t>
  </si>
  <si>
    <t>heures effectuées semaine 19</t>
  </si>
  <si>
    <t>heures effectuées semaine 20</t>
  </si>
  <si>
    <t>heures effectuées semaine 21</t>
  </si>
  <si>
    <t>heures effectuées semaine 22</t>
  </si>
  <si>
    <t>402 journal de travail</t>
  </si>
  <si>
    <t>403 procédure d'installation</t>
  </si>
  <si>
    <t>404 procédure de test</t>
  </si>
  <si>
    <t>101 planification initiale</t>
  </si>
  <si>
    <t>201 choix de l'architecture</t>
  </si>
  <si>
    <t>203 modélisation logique de la BDD</t>
  </si>
  <si>
    <t>202 modélisation conceptuelle de la BDD</t>
  </si>
  <si>
    <t>204 maquettes de l'application</t>
  </si>
  <si>
    <t>205 diagrammes de flux</t>
  </si>
  <si>
    <t>206 cas d'utilisation de l'application</t>
  </si>
  <si>
    <t>207 scénarios de l'application</t>
  </si>
  <si>
    <t>208 diagrammes de classe</t>
  </si>
  <si>
    <t>209 schéma de navigation de l'application</t>
  </si>
  <si>
    <t>601 réunion avec monsieur C.Egger, CdP</t>
  </si>
  <si>
    <t>602 réunion avec monsieur G.Gruaz, expert 1</t>
  </si>
  <si>
    <t>603 réunion avec monsieur A.Roy, expert 2</t>
  </si>
  <si>
    <t>604 réunion avec une personne extérieure</t>
  </si>
  <si>
    <t>501 réalisation des tests unitaires</t>
  </si>
  <si>
    <t>502 réalisation des tests d'intégration</t>
  </si>
  <si>
    <t>503 réalisation des tests fonctionnels</t>
  </si>
  <si>
    <t>504 mise en forme des résultats des tests</t>
  </si>
  <si>
    <t>210 fonctionnalités du projet</t>
  </si>
  <si>
    <t>1 période : 45 minutes</t>
  </si>
  <si>
    <t>tâche continue tout au long du projet</t>
  </si>
  <si>
    <t>300 mise en place de la BDD</t>
  </si>
  <si>
    <t>301 réaliser la partie graphique de l'application</t>
  </si>
  <si>
    <t>405 mise en place du GitHub</t>
  </si>
  <si>
    <t>106 -</t>
  </si>
  <si>
    <t>211 déclaration du cadre du projet</t>
  </si>
  <si>
    <t>102 objectifs du projet</t>
  </si>
  <si>
    <t>302 mettre en place la connexion à la BDD</t>
  </si>
  <si>
    <t>303 mettre en place la classe "bouteille"</t>
  </si>
  <si>
    <t>304 mettre en place la classe "casier"</t>
  </si>
  <si>
    <t>305 implémenter l'ajout de bouteilles</t>
  </si>
  <si>
    <t>306 implémenter le retrait de bouteilles</t>
  </si>
  <si>
    <t>307 implémenter l'historisation des actions effectuées</t>
  </si>
  <si>
    <t>308 implémenter la recherche par mot-clé</t>
  </si>
  <si>
    <t>309 implémenter la recherche par couleur de robe</t>
  </si>
  <si>
    <t>310 implémenter la recherche par cépage</t>
  </si>
  <si>
    <t>311 implémenter la recherche par vigneron</t>
  </si>
  <si>
    <t>312 implémenter la recherche par pays</t>
  </si>
  <si>
    <t>313 implémenter l'export d'une liste triée par PDF</t>
  </si>
  <si>
    <t>314 implémenter l'ajout de casiers</t>
  </si>
  <si>
    <t>315 implémenter le retrait de casiers</t>
  </si>
  <si>
    <t>316 implémenter une alerte sur éléments spécifiques</t>
  </si>
  <si>
    <t>317 implémenter l'impression d'une liste triée</t>
  </si>
  <si>
    <t>G.Gruaz</t>
  </si>
  <si>
    <t>A.Roy</t>
  </si>
  <si>
    <t>104 découpage du projet en tâches distinctes</t>
  </si>
  <si>
    <t>103 introduction du projet</t>
  </si>
  <si>
    <t>105 -</t>
  </si>
  <si>
    <t>213 planification définitive</t>
  </si>
  <si>
    <t>401 mise en forme du rapport de projet</t>
  </si>
  <si>
    <t>En cours</t>
  </si>
  <si>
    <t>406 envoi de l'avancée au CdP et aux experts</t>
  </si>
  <si>
    <t>réunion avec monsieur G.Gruaz. La discussion a porté sur le cadre du TPI. Réponses aux différentes questions propres à celui-ci + réponses aux incertitudes concernant le projet</t>
  </si>
  <si>
    <t>réunion avec monsieur Egger en plus de monsieur Gruaz. La discussion a porté sur la pertinence d'un des éléments du CdC (création des rôles), qui a été supprimé. Le CdC a ensuite été signé par les personnes présentes</t>
  </si>
  <si>
    <t>Terminé</t>
  </si>
  <si>
    <t>dans le document excel comprenant le journal de travail, et selon le CdC, le projet a été découpé en différentes tâches (visibles dans l'onglet avancée)</t>
  </si>
  <si>
    <t>rédaction des tâches déjà effectuées</t>
  </si>
  <si>
    <t>mise en place de la planification initiale</t>
  </si>
  <si>
    <t>212 rédaction des risques techniques détectés</t>
  </si>
  <si>
    <t>214 recherche sur l'impression depuis l'application</t>
  </si>
  <si>
    <t>création du repository GitHub (https://github.com/AhVen98/TPI_gestionCaveAVin), avec la création des dossiers pour les différents rendus -&gt; à chaque rendu, un fichier .pdf du rapport et du JT vont être créés et conservés.</t>
  </si>
  <si>
    <t>ajout de la planification initiale au rapport de TPI et mise en forme des entêtes et pieds-de-page pour avoir une cohérence. Manque encore les commentaires pour expliciter la planification</t>
  </si>
  <si>
    <t>rédaction des objectifs du projet, de la partie "analyse préliminaire", selon le CdC fourni</t>
  </si>
  <si>
    <t>rédaction de l'introduction du rapport de projet, avec les raisons, le cadre du projet (date, technologie, ...)</t>
  </si>
  <si>
    <t>rédaction des explciations concernant les différentes images de la planification initiale</t>
  </si>
  <si>
    <t>choix de l'architecture, rédaction de l'explication + justification</t>
  </si>
  <si>
    <t>rédaction d'une partie du glossaire, avec les termes spécifiques au TPI</t>
  </si>
  <si>
    <t>Planification initiale - TPI - gestion de cave à vin</t>
  </si>
  <si>
    <t xml:space="preserve">correction d'oublis dans la planification initiale (titre, nom, date) selon le mail du lundi 03 mai 2021 de monsieur A.Roy </t>
  </si>
  <si>
    <t>recherche sur les notions de cépage et d'assemblage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</si>
</sst>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&quot; h &quot;mm"/>
    <numFmt numFmtId="165" formatCode="[h]:mm"/>
    <numFmt numFmtId="166" formatCode="[$-F800]dddd\,\ mmmm\ dd\,\ yyyy"/>
    <numFmt numFmtId="167" formatCode="[$-F400]h:mm:ss\ AM/PM"/>
    <numFmt numFmtId="168" formatCode="hh/mm&quot; h&quot;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entury Gothic"/>
      <family val="2"/>
    </font>
    <font>
      <b/>
      <sz val="12"/>
      <color theme="1"/>
      <name val="Century Gothic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entury Gothic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1DC7E"/>
        <bgColor indexed="64"/>
      </patternFill>
    </fill>
    <fill>
      <patternFill patternType="solid">
        <fgColor rgb="FFFFFF99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1">
    <xf numFmtId="0" fontId="0" fillId="0" borderId="0" xfId="0"/>
    <xf numFmtId="164" fontId="3" fillId="2" borderId="1" xfId="0" applyNumberFormat="1" applyFont="1" applyFill="1" applyBorder="1" applyAlignment="1" applyProtection="1">
      <alignment vertical="center" wrapText="1"/>
    </xf>
    <xf numFmtId="0" fontId="0" fillId="2" borderId="4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11" xfId="0" applyFill="1" applyBorder="1" applyProtection="1">
      <protection locked="0"/>
    </xf>
    <xf numFmtId="14" fontId="0" fillId="2" borderId="14" xfId="0" applyNumberFormat="1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0" fontId="4" fillId="3" borderId="0" xfId="0" applyFont="1" applyFill="1" applyProtection="1"/>
    <xf numFmtId="0" fontId="5" fillId="3" borderId="0" xfId="0" applyFont="1" applyFill="1" applyProtection="1"/>
    <xf numFmtId="0" fontId="5" fillId="0" borderId="0" xfId="0" applyFont="1" applyProtection="1"/>
    <xf numFmtId="0" fontId="0" fillId="0" borderId="0" xfId="0" applyAlignment="1">
      <alignment vertical="center"/>
    </xf>
    <xf numFmtId="164" fontId="3" fillId="2" borderId="8" xfId="0" applyNumberFormat="1" applyFont="1" applyFill="1" applyBorder="1" applyAlignment="1" applyProtection="1">
      <alignment vertical="center" wrapText="1"/>
    </xf>
    <xf numFmtId="0" fontId="5" fillId="0" borderId="0" xfId="0" applyFont="1" applyAlignment="1">
      <alignment vertical="center"/>
    </xf>
    <xf numFmtId="0" fontId="5" fillId="0" borderId="0" xfId="0" applyNumberFormat="1" applyFont="1" applyBorder="1" applyAlignment="1">
      <alignment vertical="center"/>
    </xf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11" xfId="0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top" wrapText="1"/>
    </xf>
    <xf numFmtId="14" fontId="1" fillId="0" borderId="0" xfId="0" applyNumberFormat="1" applyFont="1" applyAlignment="1">
      <alignment horizontal="left" vertical="top" wrapText="1"/>
    </xf>
    <xf numFmtId="164" fontId="2" fillId="6" borderId="6" xfId="0" applyNumberFormat="1" applyFont="1" applyFill="1" applyBorder="1" applyAlignment="1" applyProtection="1">
      <alignment horizontal="center" vertical="top"/>
    </xf>
    <xf numFmtId="164" fontId="2" fillId="6" borderId="8" xfId="0" applyNumberFormat="1" applyFont="1" applyFill="1" applyBorder="1" applyAlignment="1" applyProtection="1">
      <alignment horizontal="center" vertical="top"/>
    </xf>
    <xf numFmtId="164" fontId="2" fillId="4" borderId="6" xfId="0" applyNumberFormat="1" applyFont="1" applyFill="1" applyBorder="1" applyAlignment="1" applyProtection="1">
      <alignment horizontal="center" vertical="top"/>
    </xf>
    <xf numFmtId="164" fontId="2" fillId="4" borderId="8" xfId="0" applyNumberFormat="1" applyFont="1" applyFill="1" applyBorder="1" applyAlignment="1" applyProtection="1">
      <alignment horizontal="center" vertical="top"/>
    </xf>
    <xf numFmtId="164" fontId="2" fillId="5" borderId="6" xfId="0" applyNumberFormat="1" applyFont="1" applyFill="1" applyBorder="1" applyAlignment="1" applyProtection="1">
      <alignment horizontal="center" vertical="top"/>
    </xf>
    <xf numFmtId="164" fontId="2" fillId="5" borderId="8" xfId="0" applyNumberFormat="1" applyFont="1" applyFill="1" applyBorder="1" applyAlignment="1" applyProtection="1">
      <alignment horizontal="center" vertical="top"/>
    </xf>
    <xf numFmtId="164" fontId="2" fillId="8" borderId="6" xfId="0" applyNumberFormat="1" applyFont="1" applyFill="1" applyBorder="1" applyAlignment="1" applyProtection="1">
      <alignment horizontal="center" vertical="top"/>
    </xf>
    <xf numFmtId="164" fontId="2" fillId="8" borderId="8" xfId="0" applyNumberFormat="1" applyFont="1" applyFill="1" applyBorder="1" applyAlignment="1" applyProtection="1">
      <alignment horizontal="center" vertical="top"/>
    </xf>
    <xf numFmtId="164" fontId="2" fillId="7" borderId="6" xfId="0" applyNumberFormat="1" applyFont="1" applyFill="1" applyBorder="1" applyAlignment="1" applyProtection="1">
      <alignment horizontal="center" vertical="top"/>
    </xf>
    <xf numFmtId="164" fontId="2" fillId="7" borderId="8" xfId="0" applyNumberFormat="1" applyFont="1" applyFill="1" applyBorder="1" applyAlignment="1" applyProtection="1">
      <alignment horizontal="center" vertical="top"/>
    </xf>
    <xf numFmtId="0" fontId="0" fillId="0" borderId="0" xfId="0" applyAlignment="1">
      <alignment horizontal="center"/>
    </xf>
    <xf numFmtId="164" fontId="2" fillId="4" borderId="7" xfId="0" applyNumberFormat="1" applyFont="1" applyFill="1" applyBorder="1" applyAlignment="1" applyProtection="1">
      <alignment horizontal="center" vertical="top"/>
    </xf>
    <xf numFmtId="164" fontId="2" fillId="4" borderId="17" xfId="0" applyNumberFormat="1" applyFont="1" applyFill="1" applyBorder="1" applyAlignment="1" applyProtection="1">
      <alignment horizontal="center" vertical="top"/>
    </xf>
    <xf numFmtId="164" fontId="2" fillId="4" borderId="5" xfId="0" applyNumberFormat="1" applyFont="1" applyFill="1" applyBorder="1" applyAlignment="1" applyProtection="1">
      <alignment horizontal="center" vertical="top"/>
    </xf>
    <xf numFmtId="164" fontId="2" fillId="4" borderId="18" xfId="0" applyNumberFormat="1" applyFont="1" applyFill="1" applyBorder="1" applyAlignment="1" applyProtection="1">
      <alignment horizontal="center" vertical="top"/>
    </xf>
    <xf numFmtId="0" fontId="0" fillId="0" borderId="20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164" fontId="2" fillId="6" borderId="7" xfId="0" applyNumberFormat="1" applyFont="1" applyFill="1" applyBorder="1" applyAlignment="1" applyProtection="1">
      <alignment horizontal="center" vertical="top"/>
    </xf>
    <xf numFmtId="164" fontId="2" fillId="6" borderId="5" xfId="0" applyNumberFormat="1" applyFont="1" applyFill="1" applyBorder="1" applyAlignment="1" applyProtection="1">
      <alignment horizontal="center" vertical="top"/>
    </xf>
    <xf numFmtId="0" fontId="0" fillId="0" borderId="22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164" fontId="2" fillId="5" borderId="7" xfId="0" applyNumberFormat="1" applyFont="1" applyFill="1" applyBorder="1" applyAlignment="1" applyProtection="1">
      <alignment horizontal="center" vertical="top"/>
    </xf>
    <xf numFmtId="164" fontId="2" fillId="5" borderId="17" xfId="0" applyNumberFormat="1" applyFont="1" applyFill="1" applyBorder="1" applyAlignment="1" applyProtection="1">
      <alignment horizontal="center" vertical="top"/>
    </xf>
    <xf numFmtId="164" fontId="2" fillId="5" borderId="5" xfId="0" applyNumberFormat="1" applyFont="1" applyFill="1" applyBorder="1" applyAlignment="1" applyProtection="1">
      <alignment horizontal="center" vertical="top"/>
    </xf>
    <xf numFmtId="164" fontId="2" fillId="5" borderId="18" xfId="0" applyNumberFormat="1" applyFont="1" applyFill="1" applyBorder="1" applyAlignment="1" applyProtection="1">
      <alignment horizontal="center" vertical="top"/>
    </xf>
    <xf numFmtId="164" fontId="2" fillId="8" borderId="7" xfId="0" applyNumberFormat="1" applyFont="1" applyFill="1" applyBorder="1" applyAlignment="1" applyProtection="1">
      <alignment horizontal="center" vertical="top"/>
    </xf>
    <xf numFmtId="164" fontId="2" fillId="8" borderId="17" xfId="0" applyNumberFormat="1" applyFont="1" applyFill="1" applyBorder="1" applyAlignment="1" applyProtection="1">
      <alignment horizontal="center" vertical="top"/>
    </xf>
    <xf numFmtId="164" fontId="2" fillId="8" borderId="5" xfId="0" applyNumberFormat="1" applyFont="1" applyFill="1" applyBorder="1" applyAlignment="1" applyProtection="1">
      <alignment horizontal="center" vertical="top"/>
    </xf>
    <xf numFmtId="164" fontId="2" fillId="8" borderId="18" xfId="0" applyNumberFormat="1" applyFont="1" applyFill="1" applyBorder="1" applyAlignment="1" applyProtection="1">
      <alignment horizontal="center" vertical="top"/>
    </xf>
    <xf numFmtId="164" fontId="2" fillId="7" borderId="7" xfId="0" applyNumberFormat="1" applyFont="1" applyFill="1" applyBorder="1" applyAlignment="1" applyProtection="1">
      <alignment horizontal="center" vertical="top"/>
    </xf>
    <xf numFmtId="164" fontId="2" fillId="7" borderId="17" xfId="0" applyNumberFormat="1" applyFont="1" applyFill="1" applyBorder="1" applyAlignment="1" applyProtection="1">
      <alignment horizontal="center" vertical="top"/>
    </xf>
    <xf numFmtId="164" fontId="2" fillId="7" borderId="5" xfId="0" applyNumberFormat="1" applyFont="1" applyFill="1" applyBorder="1" applyAlignment="1" applyProtection="1">
      <alignment horizontal="center" vertical="top"/>
    </xf>
    <xf numFmtId="164" fontId="2" fillId="7" borderId="18" xfId="0" applyNumberFormat="1" applyFont="1" applyFill="1" applyBorder="1" applyAlignment="1" applyProtection="1">
      <alignment horizontal="center" vertical="top"/>
    </xf>
    <xf numFmtId="0" fontId="0" fillId="0" borderId="24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164" fontId="2" fillId="10" borderId="7" xfId="0" applyNumberFormat="1" applyFont="1" applyFill="1" applyBorder="1" applyAlignment="1" applyProtection="1">
      <alignment horizontal="center" vertical="top"/>
    </xf>
    <xf numFmtId="164" fontId="2" fillId="10" borderId="5" xfId="0" applyNumberFormat="1" applyFont="1" applyFill="1" applyBorder="1" applyAlignment="1" applyProtection="1">
      <alignment horizontal="center" vertical="top"/>
    </xf>
    <xf numFmtId="164" fontId="3" fillId="2" borderId="9" xfId="0" applyNumberFormat="1" applyFont="1" applyFill="1" applyBorder="1" applyAlignment="1" applyProtection="1">
      <alignment vertical="center" wrapText="1"/>
    </xf>
    <xf numFmtId="0" fontId="0" fillId="3" borderId="23" xfId="0" applyFill="1" applyBorder="1" applyProtection="1"/>
    <xf numFmtId="0" fontId="0" fillId="3" borderId="40" xfId="0" applyFill="1" applyBorder="1" applyProtection="1"/>
    <xf numFmtId="0" fontId="0" fillId="3" borderId="23" xfId="0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3" borderId="0" xfId="0" applyNumberFormat="1" applyFill="1" applyBorder="1" applyProtection="1">
      <protection locked="0"/>
    </xf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1" xfId="0" applyFill="1" applyBorder="1" applyProtection="1">
      <protection locked="0"/>
    </xf>
    <xf numFmtId="0" fontId="0" fillId="2" borderId="39" xfId="0" applyFill="1" applyBorder="1" applyProtection="1">
      <protection locked="0"/>
    </xf>
    <xf numFmtId="0" fontId="0" fillId="2" borderId="41" xfId="0" applyFill="1" applyBorder="1" applyProtection="1"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19" xfId="0" applyFill="1" applyBorder="1" applyProtection="1"/>
    <xf numFmtId="0" fontId="0" fillId="3" borderId="21" xfId="0" applyFill="1" applyBorder="1" applyAlignment="1" applyProtection="1">
      <alignment horizontal="center"/>
      <protection locked="0"/>
    </xf>
    <xf numFmtId="0" fontId="0" fillId="3" borderId="21" xfId="0" applyFill="1" applyBorder="1" applyAlignment="1" applyProtection="1">
      <alignment horizontal="center"/>
    </xf>
    <xf numFmtId="0" fontId="0" fillId="3" borderId="41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left"/>
      <protection locked="0"/>
    </xf>
    <xf numFmtId="0" fontId="0" fillId="3" borderId="21" xfId="0" applyFill="1" applyBorder="1" applyProtection="1"/>
    <xf numFmtId="0" fontId="0" fillId="3" borderId="23" xfId="0" applyFill="1" applyBorder="1" applyAlignment="1" applyProtection="1">
      <alignment horizontal="left"/>
      <protection locked="0"/>
    </xf>
    <xf numFmtId="0" fontId="0" fillId="3" borderId="21" xfId="0" applyFill="1" applyBorder="1" applyAlignment="1" applyProtection="1">
      <alignment horizontal="left"/>
      <protection locked="0"/>
    </xf>
    <xf numFmtId="0" fontId="0" fillId="3" borderId="21" xfId="0" applyFill="1" applyBorder="1" applyProtection="1">
      <protection locked="0"/>
    </xf>
    <xf numFmtId="0" fontId="0" fillId="3" borderId="40" xfId="0" applyFill="1" applyBorder="1" applyProtection="1">
      <protection locked="0"/>
    </xf>
    <xf numFmtId="0" fontId="0" fillId="3" borderId="41" xfId="0" applyFill="1" applyBorder="1" applyProtection="1">
      <protection locked="0"/>
    </xf>
    <xf numFmtId="0" fontId="4" fillId="3" borderId="0" xfId="0" applyFont="1" applyFill="1" applyBorder="1" applyProtection="1"/>
    <xf numFmtId="0" fontId="7" fillId="3" borderId="0" xfId="0" applyFont="1" applyFill="1" applyBorder="1" applyAlignment="1" applyProtection="1">
      <protection locked="0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left" vertical="top"/>
    </xf>
    <xf numFmtId="0" fontId="0" fillId="0" borderId="0" xfId="0" applyAlignment="1"/>
    <xf numFmtId="166" fontId="0" fillId="0" borderId="0" xfId="0" applyNumberFormat="1" applyAlignment="1">
      <alignment vertical="center" wrapText="1"/>
    </xf>
    <xf numFmtId="0" fontId="1" fillId="0" borderId="3" xfId="0" applyNumberFormat="1" applyFont="1" applyBorder="1" applyAlignment="1">
      <alignment horizontal="center" vertical="center"/>
    </xf>
    <xf numFmtId="0" fontId="0" fillId="3" borderId="0" xfId="0" applyNumberFormat="1" applyFill="1" applyAlignment="1" applyProtection="1">
      <alignment horizontal="left"/>
    </xf>
    <xf numFmtId="0" fontId="1" fillId="0" borderId="3" xfId="0" applyFont="1" applyBorder="1" applyAlignment="1" applyProtection="1">
      <alignment horizontal="center" vertical="center"/>
    </xf>
    <xf numFmtId="165" fontId="0" fillId="0" borderId="11" xfId="0" applyNumberFormat="1" applyBorder="1" applyAlignment="1" applyProtection="1">
      <alignment horizontal="center" vertical="center" wrapText="1"/>
    </xf>
    <xf numFmtId="0" fontId="0" fillId="0" borderId="10" xfId="0" applyBorder="1" applyAlignment="1" applyProtection="1">
      <alignment horizontal="left" vertical="top" wrapText="1"/>
      <protection locked="0"/>
    </xf>
    <xf numFmtId="0" fontId="1" fillId="0" borderId="12" xfId="0" applyFont="1" applyBorder="1" applyAlignment="1">
      <alignment horizontal="left" vertical="top"/>
    </xf>
    <xf numFmtId="0" fontId="0" fillId="0" borderId="11" xfId="0" applyNumberFormat="1" applyBorder="1" applyAlignment="1" applyProtection="1">
      <alignment horizontal="center" vertical="center" wrapText="1"/>
    </xf>
    <xf numFmtId="0" fontId="1" fillId="3" borderId="0" xfId="0" applyFont="1" applyFill="1" applyProtection="1"/>
    <xf numFmtId="164" fontId="2" fillId="6" borderId="17" xfId="0" applyNumberFormat="1" applyFont="1" applyFill="1" applyBorder="1" applyAlignment="1" applyProtection="1">
      <alignment horizontal="center" vertical="top"/>
    </xf>
    <xf numFmtId="164" fontId="2" fillId="6" borderId="18" xfId="0" applyNumberFormat="1" applyFont="1" applyFill="1" applyBorder="1" applyAlignment="1" applyProtection="1">
      <alignment horizontal="center" vertical="top"/>
    </xf>
    <xf numFmtId="0" fontId="0" fillId="0" borderId="44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8" fillId="3" borderId="0" xfId="0" applyFont="1" applyFill="1" applyProtection="1"/>
    <xf numFmtId="0" fontId="0" fillId="3" borderId="0" xfId="0" applyFont="1" applyFill="1" applyProtection="1"/>
    <xf numFmtId="0" fontId="1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9" fillId="3" borderId="0" xfId="0" applyFont="1" applyFill="1" applyProtection="1"/>
    <xf numFmtId="0" fontId="1" fillId="3" borderId="0" xfId="0" applyFon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0" fontId="0" fillId="3" borderId="0" xfId="0" applyFont="1" applyFill="1" applyAlignment="1" applyProtection="1">
      <alignment horizontal="left"/>
    </xf>
    <xf numFmtId="164" fontId="2" fillId="11" borderId="6" xfId="0" applyNumberFormat="1" applyFont="1" applyFill="1" applyBorder="1" applyAlignment="1" applyProtection="1">
      <alignment horizontal="center" vertical="top"/>
    </xf>
    <xf numFmtId="164" fontId="2" fillId="11" borderId="7" xfId="0" applyNumberFormat="1" applyFont="1" applyFill="1" applyBorder="1" applyAlignment="1" applyProtection="1">
      <alignment horizontal="center" vertical="top"/>
    </xf>
    <xf numFmtId="164" fontId="2" fillId="11" borderId="17" xfId="0" applyNumberFormat="1" applyFont="1" applyFill="1" applyBorder="1" applyAlignment="1" applyProtection="1">
      <alignment horizontal="center" vertical="top"/>
    </xf>
    <xf numFmtId="164" fontId="2" fillId="11" borderId="8" xfId="0" applyNumberFormat="1" applyFont="1" applyFill="1" applyBorder="1" applyAlignment="1" applyProtection="1">
      <alignment horizontal="center" vertical="top"/>
    </xf>
    <xf numFmtId="164" fontId="2" fillId="11" borderId="5" xfId="0" applyNumberFormat="1" applyFont="1" applyFill="1" applyBorder="1" applyAlignment="1" applyProtection="1">
      <alignment horizontal="center" vertical="top"/>
    </xf>
    <xf numFmtId="164" fontId="2" fillId="11" borderId="18" xfId="0" applyNumberFormat="1" applyFont="1" applyFill="1" applyBorder="1" applyAlignment="1" applyProtection="1">
      <alignment horizontal="center" vertical="top"/>
    </xf>
    <xf numFmtId="164" fontId="3" fillId="2" borderId="12" xfId="0" applyNumberFormat="1" applyFont="1" applyFill="1" applyBorder="1" applyAlignment="1" applyProtection="1">
      <alignment vertical="center" wrapText="1"/>
    </xf>
    <xf numFmtId="164" fontId="3" fillId="2" borderId="48" xfId="0" applyNumberFormat="1" applyFont="1" applyFill="1" applyBorder="1" applyAlignment="1" applyProtection="1">
      <alignment vertical="center" wrapText="1"/>
    </xf>
    <xf numFmtId="164" fontId="3" fillId="2" borderId="13" xfId="0" applyNumberFormat="1" applyFont="1" applyFill="1" applyBorder="1" applyAlignment="1" applyProtection="1">
      <alignment vertical="center" wrapText="1"/>
    </xf>
    <xf numFmtId="0" fontId="0" fillId="2" borderId="3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3" borderId="0" xfId="0" applyNumberFormat="1" applyFill="1" applyBorder="1" applyAlignment="1" applyProtection="1">
      <alignment horizontal="center"/>
    </xf>
    <xf numFmtId="20" fontId="0" fillId="2" borderId="14" xfId="0" applyNumberFormat="1" applyFill="1" applyBorder="1" applyProtection="1">
      <protection locked="0"/>
    </xf>
    <xf numFmtId="0" fontId="1" fillId="0" borderId="12" xfId="0" applyFont="1" applyBorder="1" applyAlignment="1" applyProtection="1">
      <alignment horizontal="left" vertical="top"/>
    </xf>
    <xf numFmtId="168" fontId="0" fillId="0" borderId="14" xfId="0" applyNumberFormat="1" applyBorder="1" applyAlignment="1" applyProtection="1">
      <alignment horizontal="left" vertical="top" wrapText="1"/>
    </xf>
    <xf numFmtId="168" fontId="0" fillId="0" borderId="49" xfId="0" applyNumberFormat="1" applyBorder="1" applyAlignment="1" applyProtection="1">
      <alignment horizontal="left" vertical="top" wrapText="1"/>
    </xf>
    <xf numFmtId="0" fontId="0" fillId="0" borderId="7" xfId="0" applyBorder="1" applyAlignment="1"/>
    <xf numFmtId="0" fontId="7" fillId="3" borderId="0" xfId="0" applyFont="1" applyFill="1" applyBorder="1" applyAlignment="1" applyProtection="1"/>
    <xf numFmtId="0" fontId="9" fillId="3" borderId="0" xfId="0" applyFont="1" applyFill="1" applyAlignment="1" applyProtection="1">
      <alignment horizontal="left"/>
    </xf>
    <xf numFmtId="0" fontId="0" fillId="0" borderId="50" xfId="0" applyBorder="1" applyAlignment="1" applyProtection="1">
      <alignment horizontal="left" vertical="top" wrapText="1"/>
    </xf>
    <xf numFmtId="0" fontId="0" fillId="0" borderId="51" xfId="0" applyBorder="1" applyAlignment="1" applyProtection="1">
      <alignment horizontal="left" vertical="top" wrapText="1"/>
      <protection locked="0"/>
    </xf>
    <xf numFmtId="0" fontId="0" fillId="0" borderId="9" xfId="0" applyBorder="1" applyAlignment="1" applyProtection="1">
      <alignment horizontal="left" vertical="top" wrapText="1"/>
    </xf>
    <xf numFmtId="0" fontId="0" fillId="0" borderId="52" xfId="0" applyBorder="1" applyAlignment="1" applyProtection="1">
      <alignment horizontal="left" vertical="top" wrapText="1"/>
      <protection locked="0"/>
    </xf>
    <xf numFmtId="14" fontId="0" fillId="0" borderId="30" xfId="0" applyNumberFormat="1" applyBorder="1" applyAlignment="1" applyProtection="1">
      <alignment horizontal="center" vertical="center" wrapText="1"/>
      <protection locked="0"/>
    </xf>
    <xf numFmtId="166" fontId="0" fillId="0" borderId="0" xfId="0" applyNumberFormat="1" applyAlignment="1">
      <alignment horizontal="right" vertical="center"/>
    </xf>
    <xf numFmtId="168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left" vertical="top" wrapText="1"/>
    </xf>
    <xf numFmtId="0" fontId="0" fillId="0" borderId="5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4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0" fillId="2" borderId="11" xfId="0" applyFill="1" applyBorder="1" applyAlignment="1" applyProtection="1">
      <alignment horizontal="left"/>
      <protection locked="0"/>
    </xf>
    <xf numFmtId="0" fontId="0" fillId="11" borderId="38" xfId="0" applyFill="1" applyBorder="1" applyAlignment="1">
      <alignment horizontal="center"/>
    </xf>
    <xf numFmtId="0" fontId="0" fillId="11" borderId="35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13" borderId="35" xfId="0" applyFill="1" applyBorder="1" applyAlignment="1">
      <alignment horizontal="center"/>
    </xf>
    <xf numFmtId="0" fontId="0" fillId="13" borderId="26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31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28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167" fontId="0" fillId="0" borderId="11" xfId="0" applyNumberFormat="1" applyBorder="1" applyAlignment="1" applyProtection="1">
      <alignment vertical="center" wrapText="1"/>
      <protection locked="0"/>
    </xf>
    <xf numFmtId="167" fontId="0" fillId="0" borderId="14" xfId="0" applyNumberFormat="1" applyBorder="1" applyAlignment="1" applyProtection="1">
      <alignment vertical="center" wrapText="1"/>
      <protection locked="0"/>
    </xf>
    <xf numFmtId="167" fontId="0" fillId="0" borderId="0" xfId="0" applyNumberFormat="1" applyAlignment="1" applyProtection="1">
      <alignment vertical="center" wrapText="1"/>
      <protection locked="0"/>
    </xf>
    <xf numFmtId="0" fontId="0" fillId="6" borderId="20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5" borderId="45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0" fillId="13" borderId="44" xfId="0" applyFill="1" applyBorder="1" applyAlignment="1">
      <alignment horizontal="center"/>
    </xf>
    <xf numFmtId="0" fontId="0" fillId="13" borderId="45" xfId="0" applyFill="1" applyBorder="1" applyAlignment="1">
      <alignment horizontal="center"/>
    </xf>
    <xf numFmtId="0" fontId="0" fillId="13" borderId="46" xfId="0" applyFill="1" applyBorder="1" applyAlignment="1">
      <alignment horizontal="center"/>
    </xf>
    <xf numFmtId="0" fontId="0" fillId="13" borderId="25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0" fillId="13" borderId="33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0" fillId="0" borderId="54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0" fillId="0" borderId="57" xfId="0" applyFill="1" applyBorder="1" applyAlignment="1">
      <alignment horizontal="center"/>
    </xf>
    <xf numFmtId="0" fontId="0" fillId="13" borderId="47" xfId="0" applyFill="1" applyBorder="1" applyAlignment="1">
      <alignment horizontal="center"/>
    </xf>
    <xf numFmtId="0" fontId="0" fillId="8" borderId="34" xfId="0" applyFill="1" applyBorder="1" applyAlignment="1">
      <alignment horizontal="center"/>
    </xf>
    <xf numFmtId="0" fontId="4" fillId="3" borderId="0" xfId="0" applyFont="1" applyFill="1" applyAlignment="1" applyProtection="1">
      <alignment horizontal="center"/>
    </xf>
    <xf numFmtId="0" fontId="4" fillId="3" borderId="0" xfId="0" applyNumberFormat="1" applyFont="1" applyFill="1" applyAlignment="1" applyProtection="1">
      <alignment horizontal="center"/>
    </xf>
    <xf numFmtId="0" fontId="9" fillId="3" borderId="0" xfId="0" applyFont="1" applyFill="1" applyAlignment="1" applyProtection="1">
      <alignment horizontal="left"/>
    </xf>
    <xf numFmtId="0" fontId="5" fillId="0" borderId="19" xfId="0" applyNumberFormat="1" applyFont="1" applyBorder="1" applyAlignment="1">
      <alignment horizontal="center" vertical="center"/>
    </xf>
    <xf numFmtId="0" fontId="5" fillId="0" borderId="42" xfId="0" applyNumberFormat="1" applyFont="1" applyBorder="1" applyAlignment="1">
      <alignment horizontal="center" vertical="center"/>
    </xf>
    <xf numFmtId="0" fontId="5" fillId="0" borderId="43" xfId="0" applyNumberFormat="1" applyFont="1" applyBorder="1" applyAlignment="1">
      <alignment horizontal="center" vertical="center"/>
    </xf>
    <xf numFmtId="164" fontId="2" fillId="8" borderId="6" xfId="0" applyNumberFormat="1" applyFont="1" applyFill="1" applyBorder="1" applyAlignment="1" applyProtection="1">
      <alignment horizontal="left" vertical="top" wrapText="1"/>
    </xf>
    <xf numFmtId="164" fontId="2" fillId="8" borderId="8" xfId="0" applyNumberFormat="1" applyFont="1" applyFill="1" applyBorder="1" applyAlignment="1" applyProtection="1">
      <alignment horizontal="left" vertical="top" wrapText="1"/>
    </xf>
    <xf numFmtId="164" fontId="2" fillId="7" borderId="6" xfId="0" applyNumberFormat="1" applyFont="1" applyFill="1" applyBorder="1" applyAlignment="1" applyProtection="1">
      <alignment horizontal="left" vertical="top" wrapText="1"/>
    </xf>
    <xf numFmtId="164" fontId="2" fillId="7" borderId="8" xfId="0" applyNumberFormat="1" applyFont="1" applyFill="1" applyBorder="1" applyAlignment="1" applyProtection="1">
      <alignment horizontal="left" vertical="top" wrapText="1"/>
    </xf>
    <xf numFmtId="164" fontId="2" fillId="6" borderId="6" xfId="0" applyNumberFormat="1" applyFont="1" applyFill="1" applyBorder="1" applyAlignment="1" applyProtection="1">
      <alignment horizontal="left" vertical="top" wrapText="1"/>
    </xf>
    <xf numFmtId="164" fontId="2" fillId="6" borderId="8" xfId="0" applyNumberFormat="1" applyFont="1" applyFill="1" applyBorder="1" applyAlignment="1" applyProtection="1">
      <alignment horizontal="left" vertical="top" wrapText="1"/>
    </xf>
    <xf numFmtId="164" fontId="2" fillId="4" borderId="6" xfId="0" applyNumberFormat="1" applyFont="1" applyFill="1" applyBorder="1" applyAlignment="1" applyProtection="1">
      <alignment horizontal="left" vertical="top" wrapText="1"/>
    </xf>
    <xf numFmtId="164" fontId="2" fillId="4" borderId="8" xfId="0" applyNumberFormat="1" applyFont="1" applyFill="1" applyBorder="1" applyAlignment="1" applyProtection="1">
      <alignment horizontal="left" vertical="top" wrapText="1"/>
    </xf>
    <xf numFmtId="164" fontId="2" fillId="5" borderId="6" xfId="0" applyNumberFormat="1" applyFont="1" applyFill="1" applyBorder="1" applyAlignment="1" applyProtection="1">
      <alignment horizontal="left" vertical="top" wrapText="1"/>
    </xf>
    <xf numFmtId="164" fontId="2" fillId="5" borderId="8" xfId="0" applyNumberFormat="1" applyFont="1" applyFill="1" applyBorder="1" applyAlignment="1" applyProtection="1">
      <alignment horizontal="left" vertical="top" wrapText="1"/>
    </xf>
    <xf numFmtId="0" fontId="0" fillId="0" borderId="0" xfId="0" applyAlignment="1">
      <alignment horizontal="left"/>
    </xf>
    <xf numFmtId="164" fontId="2" fillId="11" borderId="6" xfId="0" applyNumberFormat="1" applyFont="1" applyFill="1" applyBorder="1" applyAlignment="1" applyProtection="1">
      <alignment horizontal="left" vertical="top" wrapText="1"/>
    </xf>
    <xf numFmtId="164" fontId="2" fillId="11" borderId="8" xfId="0" applyNumberFormat="1" applyFont="1" applyFill="1" applyBorder="1" applyAlignment="1" applyProtection="1">
      <alignment horizontal="left" vertical="top" wrapText="1"/>
    </xf>
    <xf numFmtId="0" fontId="1" fillId="0" borderId="0" xfId="0" applyFont="1" applyAlignment="1" applyProtection="1">
      <alignment horizontal="left" vertical="center" wrapText="1"/>
    </xf>
    <xf numFmtId="0" fontId="7" fillId="9" borderId="5" xfId="0" applyFont="1" applyFill="1" applyBorder="1" applyAlignment="1">
      <alignment horizontal="center" vertical="center" wrapText="1"/>
    </xf>
    <xf numFmtId="0" fontId="7" fillId="12" borderId="5" xfId="0" applyFont="1" applyFill="1" applyBorder="1" applyAlignment="1">
      <alignment horizontal="center" vertical="center" wrapText="1"/>
    </xf>
    <xf numFmtId="0" fontId="0" fillId="0" borderId="0" xfId="0" applyBorder="1" applyAlignment="1"/>
    <xf numFmtId="0" fontId="6" fillId="0" borderId="30" xfId="0" applyFont="1" applyFill="1" applyBorder="1" applyAlignment="1">
      <alignment wrapText="1"/>
    </xf>
    <xf numFmtId="14" fontId="0" fillId="0" borderId="40" xfId="0" applyNumberFormat="1" applyBorder="1" applyAlignment="1">
      <alignment horizontal="center" textRotation="90"/>
    </xf>
    <xf numFmtId="14" fontId="0" fillId="0" borderId="58" xfId="0" applyNumberFormat="1" applyBorder="1" applyAlignment="1">
      <alignment horizontal="center" textRotation="90"/>
    </xf>
    <xf numFmtId="14" fontId="0" fillId="0" borderId="59" xfId="0" applyNumberFormat="1" applyBorder="1" applyAlignment="1">
      <alignment horizontal="center" textRotation="90"/>
    </xf>
    <xf numFmtId="14" fontId="0" fillId="0" borderId="60" xfId="0" applyNumberFormat="1" applyBorder="1" applyAlignment="1">
      <alignment horizontal="center" textRotation="90"/>
    </xf>
    <xf numFmtId="14" fontId="0" fillId="0" borderId="10" xfId="0" applyNumberFormat="1" applyBorder="1" applyAlignment="1">
      <alignment horizontal="center" textRotation="90"/>
    </xf>
    <xf numFmtId="164" fontId="10" fillId="0" borderId="61" xfId="0" applyNumberFormat="1" applyFont="1" applyFill="1" applyBorder="1" applyAlignment="1" applyProtection="1">
      <alignment horizontal="center" vertical="center" wrapText="1"/>
    </xf>
    <xf numFmtId="164" fontId="2" fillId="0" borderId="62" xfId="0" applyNumberFormat="1" applyFont="1" applyFill="1" applyBorder="1" applyAlignment="1" applyProtection="1">
      <alignment horizontal="center" vertical="center" wrapText="1"/>
    </xf>
    <xf numFmtId="164" fontId="2" fillId="0" borderId="63" xfId="0" applyNumberFormat="1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12">
    <dxf>
      <fill>
        <patternFill>
          <bgColor rgb="FFFFCC66"/>
        </patternFill>
      </fill>
    </dxf>
    <dxf>
      <fill>
        <patternFill>
          <bgColor rgb="FF92D050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FF99"/>
      <color rgb="FFC1DC7E"/>
      <color rgb="FF66FF3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J67"/>
  <sheetViews>
    <sheetView topLeftCell="A42" zoomScale="145" zoomScaleNormal="145" workbookViewId="0">
      <selection activeCell="C26" sqref="C26"/>
    </sheetView>
  </sheetViews>
  <sheetFormatPr baseColWidth="10" defaultColWidth="11.42578125" defaultRowHeight="15" x14ac:dyDescent="0.25"/>
  <cols>
    <col min="1" max="1" width="2.85546875" style="9" customWidth="1"/>
    <col min="2" max="2" width="19.28515625" style="9" customWidth="1"/>
    <col min="3" max="3" width="14" style="9" bestFit="1" customWidth="1"/>
    <col min="4" max="4" width="15.42578125" style="9" bestFit="1" customWidth="1"/>
    <col min="5" max="5" width="14.28515625" style="9" customWidth="1"/>
    <col min="6" max="6" width="2.85546875" style="9" customWidth="1"/>
    <col min="7" max="7" width="2.28515625" style="9" customWidth="1"/>
    <col min="8" max="8" width="21.28515625" style="80" customWidth="1"/>
    <col min="9" max="9" width="46.42578125" style="9" bestFit="1" customWidth="1"/>
    <col min="10" max="10" width="2.85546875" style="9" customWidth="1"/>
    <col min="11" max="16384" width="11.42578125" style="9"/>
  </cols>
  <sheetData>
    <row r="2" spans="1:10" ht="15" customHeight="1" x14ac:dyDescent="0.35">
      <c r="A2" s="8"/>
      <c r="B2" s="8"/>
      <c r="C2" s="8"/>
      <c r="D2" s="8"/>
      <c r="E2" s="98"/>
      <c r="F2" s="8"/>
      <c r="G2" s="8"/>
      <c r="H2" s="79"/>
      <c r="I2" s="8"/>
      <c r="J2" s="8"/>
    </row>
    <row r="3" spans="1:10" s="12" customFormat="1" ht="21" x14ac:dyDescent="0.35">
      <c r="A3" s="11"/>
      <c r="B3" s="97" t="s">
        <v>4</v>
      </c>
      <c r="C3" s="142" t="s">
        <v>26</v>
      </c>
      <c r="D3" s="142"/>
      <c r="E3" s="11"/>
      <c r="F3" s="10"/>
      <c r="G3" s="199" t="s">
        <v>11</v>
      </c>
      <c r="H3" s="199"/>
      <c r="I3" s="10" t="s">
        <v>5</v>
      </c>
      <c r="J3" s="10"/>
    </row>
    <row r="4" spans="1:10" x14ac:dyDescent="0.25">
      <c r="A4" s="8"/>
      <c r="B4" s="8"/>
      <c r="C4" s="8"/>
      <c r="D4" s="8"/>
      <c r="E4" s="8"/>
      <c r="F4" s="8"/>
      <c r="G4" s="86">
        <v>1</v>
      </c>
      <c r="H4" s="134" t="str">
        <f>D11</f>
        <v>Analyse</v>
      </c>
      <c r="I4" s="155" t="s">
        <v>57</v>
      </c>
      <c r="J4" s="90"/>
    </row>
    <row r="5" spans="1:10" ht="18.75" x14ac:dyDescent="0.3">
      <c r="A5" s="8"/>
      <c r="B5" s="10" t="s">
        <v>44</v>
      </c>
      <c r="C5" s="10" t="s">
        <v>2</v>
      </c>
      <c r="D5" s="10" t="s">
        <v>3</v>
      </c>
      <c r="E5" s="8"/>
      <c r="F5" s="8"/>
      <c r="G5" s="72"/>
      <c r="H5" s="87"/>
      <c r="I5" s="156" t="s">
        <v>83</v>
      </c>
      <c r="J5" s="90"/>
    </row>
    <row r="6" spans="1:10" x14ac:dyDescent="0.25">
      <c r="A6" s="8"/>
      <c r="B6" s="5">
        <v>44319</v>
      </c>
      <c r="C6" s="6" t="s">
        <v>6</v>
      </c>
      <c r="D6" s="7" t="s">
        <v>7</v>
      </c>
      <c r="E6" s="8"/>
      <c r="F6" s="8"/>
      <c r="G6" s="72"/>
      <c r="H6" s="87"/>
      <c r="I6" s="156" t="s">
        <v>103</v>
      </c>
      <c r="J6" s="90"/>
    </row>
    <row r="7" spans="1:10" ht="18.75" x14ac:dyDescent="0.3">
      <c r="A7" s="8"/>
      <c r="B7" s="10" t="s">
        <v>43</v>
      </c>
      <c r="C7" s="75"/>
      <c r="D7" s="10" t="s">
        <v>31</v>
      </c>
      <c r="E7" s="8"/>
      <c r="F7" s="8"/>
      <c r="G7" s="72"/>
      <c r="H7" s="87"/>
      <c r="I7" s="156" t="s">
        <v>102</v>
      </c>
      <c r="J7" s="90"/>
    </row>
    <row r="8" spans="1:10" x14ac:dyDescent="0.25">
      <c r="A8" s="8"/>
      <c r="B8" s="5">
        <v>44350</v>
      </c>
      <c r="C8" s="75"/>
      <c r="D8" s="137" t="s">
        <v>45</v>
      </c>
      <c r="E8" s="8"/>
      <c r="F8" s="8"/>
      <c r="G8" s="72"/>
      <c r="H8" s="87"/>
      <c r="I8" s="156" t="s">
        <v>104</v>
      </c>
      <c r="J8" s="90"/>
    </row>
    <row r="9" spans="1:10" x14ac:dyDescent="0.25">
      <c r="A9" s="8"/>
      <c r="B9" s="8"/>
      <c r="C9" s="8"/>
      <c r="D9" s="8"/>
      <c r="E9" s="8"/>
      <c r="F9" s="8"/>
      <c r="G9" s="72"/>
      <c r="H9" s="87"/>
      <c r="I9" s="157" t="s">
        <v>81</v>
      </c>
      <c r="J9" s="90"/>
    </row>
    <row r="10" spans="1:10" ht="18.75" x14ac:dyDescent="0.3">
      <c r="A10" s="8"/>
      <c r="B10" s="8"/>
      <c r="C10" s="200" t="s">
        <v>16</v>
      </c>
      <c r="D10" s="200"/>
      <c r="E10" s="8"/>
      <c r="F10" s="8"/>
      <c r="G10" s="86">
        <v>2</v>
      </c>
      <c r="H10" s="134" t="str">
        <f>D12</f>
        <v>Conception</v>
      </c>
      <c r="I10" s="83" t="s">
        <v>58</v>
      </c>
      <c r="J10" s="90"/>
    </row>
    <row r="11" spans="1:10" x14ac:dyDescent="0.25">
      <c r="A11" s="8"/>
      <c r="B11" s="8"/>
      <c r="C11" s="136">
        <v>1</v>
      </c>
      <c r="D11" s="76" t="s">
        <v>17</v>
      </c>
      <c r="E11" s="8"/>
      <c r="F11" s="8"/>
      <c r="G11" s="72"/>
      <c r="H11" s="88"/>
      <c r="I11" s="82" t="s">
        <v>60</v>
      </c>
      <c r="J11" s="90"/>
    </row>
    <row r="12" spans="1:10" x14ac:dyDescent="0.25">
      <c r="A12" s="8"/>
      <c r="B12" s="8"/>
      <c r="C12" s="136">
        <v>2</v>
      </c>
      <c r="D12" s="76" t="s">
        <v>18</v>
      </c>
      <c r="E12" s="8"/>
      <c r="F12" s="8"/>
      <c r="G12" s="72"/>
      <c r="H12" s="88"/>
      <c r="I12" s="82" t="s">
        <v>59</v>
      </c>
      <c r="J12" s="90"/>
    </row>
    <row r="13" spans="1:10" x14ac:dyDescent="0.25">
      <c r="A13" s="8"/>
      <c r="B13" s="8"/>
      <c r="C13" s="78">
        <v>3</v>
      </c>
      <c r="D13" s="77" t="s">
        <v>19</v>
      </c>
      <c r="E13" s="8"/>
      <c r="F13" s="8"/>
      <c r="G13" s="72"/>
      <c r="H13" s="88"/>
      <c r="I13" s="82" t="s">
        <v>61</v>
      </c>
      <c r="J13" s="90"/>
    </row>
    <row r="14" spans="1:10" x14ac:dyDescent="0.25">
      <c r="A14" s="8"/>
      <c r="B14" s="8"/>
      <c r="C14" s="78">
        <v>4</v>
      </c>
      <c r="D14" s="77" t="s">
        <v>20</v>
      </c>
      <c r="E14" s="8"/>
      <c r="F14" s="8"/>
      <c r="G14" s="72"/>
      <c r="H14" s="88"/>
      <c r="I14" s="82" t="s">
        <v>62</v>
      </c>
      <c r="J14" s="90"/>
    </row>
    <row r="15" spans="1:10" x14ac:dyDescent="0.25">
      <c r="A15" s="8"/>
      <c r="B15" s="8"/>
      <c r="C15" s="78">
        <v>5</v>
      </c>
      <c r="D15" s="77" t="s">
        <v>47</v>
      </c>
      <c r="E15" s="8"/>
      <c r="F15" s="8"/>
      <c r="G15" s="72"/>
      <c r="H15" s="88"/>
      <c r="I15" s="82" t="s">
        <v>63</v>
      </c>
      <c r="J15" s="90"/>
    </row>
    <row r="16" spans="1:10" x14ac:dyDescent="0.25">
      <c r="A16" s="8"/>
      <c r="B16" s="8"/>
      <c r="C16" s="78">
        <v>6</v>
      </c>
      <c r="D16" s="77" t="s">
        <v>40</v>
      </c>
      <c r="E16" s="8"/>
      <c r="F16" s="8"/>
      <c r="G16" s="72"/>
      <c r="H16" s="88"/>
      <c r="I16" s="82" t="s">
        <v>64</v>
      </c>
      <c r="J16" s="75"/>
    </row>
    <row r="17" spans="1:10" x14ac:dyDescent="0.25">
      <c r="A17" s="8"/>
      <c r="B17" s="117"/>
      <c r="C17" s="117"/>
      <c r="D17" s="8"/>
      <c r="E17" s="8"/>
      <c r="F17" s="8"/>
      <c r="G17" s="72"/>
      <c r="H17" s="87"/>
      <c r="I17" s="82" t="s">
        <v>65</v>
      </c>
      <c r="J17" s="75"/>
    </row>
    <row r="18" spans="1:10" ht="15.75" x14ac:dyDescent="0.25">
      <c r="A18" s="8"/>
      <c r="B18" s="201" t="s">
        <v>39</v>
      </c>
      <c r="C18" s="201"/>
      <c r="D18" s="121"/>
      <c r="E18" s="111"/>
      <c r="F18" s="8"/>
      <c r="G18" s="72"/>
      <c r="H18" s="85"/>
      <c r="I18" s="3" t="s">
        <v>66</v>
      </c>
      <c r="J18" s="75"/>
    </row>
    <row r="19" spans="1:10" x14ac:dyDescent="0.25">
      <c r="A19" s="8"/>
      <c r="B19" s="122" t="s">
        <v>35</v>
      </c>
      <c r="C19" s="105" t="s">
        <v>33</v>
      </c>
      <c r="D19" s="119"/>
      <c r="E19" s="120"/>
      <c r="F19" s="8"/>
      <c r="G19" s="72"/>
      <c r="H19" s="87"/>
      <c r="I19" s="82" t="s">
        <v>75</v>
      </c>
      <c r="J19" s="75"/>
    </row>
    <row r="20" spans="1:10" x14ac:dyDescent="0.25">
      <c r="A20" s="8"/>
      <c r="B20" s="122" t="s">
        <v>34</v>
      </c>
      <c r="C20" s="123" t="s">
        <v>100</v>
      </c>
      <c r="D20" s="119"/>
      <c r="E20" s="79"/>
      <c r="F20" s="8"/>
      <c r="G20" s="72"/>
      <c r="H20" s="87"/>
      <c r="I20" s="82" t="s">
        <v>82</v>
      </c>
      <c r="J20" s="75"/>
    </row>
    <row r="21" spans="1:10" x14ac:dyDescent="0.25">
      <c r="A21" s="8"/>
      <c r="B21" s="122" t="s">
        <v>36</v>
      </c>
      <c r="C21" s="123" t="s">
        <v>101</v>
      </c>
      <c r="D21" s="119"/>
      <c r="E21" s="79"/>
      <c r="F21" s="8"/>
      <c r="G21" s="72"/>
      <c r="H21" s="88"/>
      <c r="I21" s="82" t="s">
        <v>115</v>
      </c>
      <c r="J21" s="75"/>
    </row>
    <row r="22" spans="1:10" x14ac:dyDescent="0.25">
      <c r="A22" s="8"/>
      <c r="B22" s="122" t="s">
        <v>37</v>
      </c>
      <c r="C22" s="105"/>
      <c r="D22" s="111"/>
      <c r="E22" s="118"/>
      <c r="F22" s="8"/>
      <c r="G22" s="72"/>
      <c r="H22" s="88"/>
      <c r="I22" s="82" t="s">
        <v>105</v>
      </c>
      <c r="J22" s="75"/>
    </row>
    <row r="23" spans="1:10" ht="15.75" x14ac:dyDescent="0.25">
      <c r="A23" s="8"/>
      <c r="B23" s="122" t="s">
        <v>38</v>
      </c>
      <c r="C23" s="143"/>
      <c r="D23" s="111"/>
      <c r="E23" s="8"/>
      <c r="F23" s="8"/>
      <c r="G23" s="72"/>
      <c r="H23" s="88"/>
      <c r="I23" s="82" t="s">
        <v>116</v>
      </c>
      <c r="J23" s="75"/>
    </row>
    <row r="24" spans="1:10" x14ac:dyDescent="0.25">
      <c r="A24" s="8"/>
      <c r="B24" s="8"/>
      <c r="C24" s="124"/>
      <c r="D24" s="111"/>
      <c r="E24" s="8"/>
      <c r="F24" s="8"/>
      <c r="G24" s="72"/>
      <c r="H24" s="88"/>
      <c r="I24" s="82" t="s">
        <v>27</v>
      </c>
      <c r="J24" s="75"/>
    </row>
    <row r="25" spans="1:10" x14ac:dyDescent="0.25">
      <c r="A25" s="8"/>
      <c r="B25" s="8"/>
      <c r="C25" s="123"/>
      <c r="D25" s="8"/>
      <c r="E25" s="8"/>
      <c r="F25" s="8"/>
      <c r="G25" s="73"/>
      <c r="H25" s="89"/>
      <c r="I25" s="84" t="s">
        <v>28</v>
      </c>
      <c r="J25" s="75"/>
    </row>
    <row r="26" spans="1:10" x14ac:dyDescent="0.25">
      <c r="A26" s="8"/>
      <c r="B26" s="122"/>
      <c r="C26" s="123"/>
      <c r="D26" s="8"/>
      <c r="E26" s="8"/>
      <c r="F26" s="8"/>
      <c r="G26" s="86">
        <v>3</v>
      </c>
      <c r="H26" s="134" t="str">
        <f>D13</f>
        <v>Implémentation</v>
      </c>
      <c r="I26" s="83" t="s">
        <v>78</v>
      </c>
      <c r="J26" s="8"/>
    </row>
    <row r="27" spans="1:10" x14ac:dyDescent="0.25">
      <c r="A27" s="8"/>
      <c r="B27" s="8"/>
      <c r="C27" s="8"/>
      <c r="D27" s="8"/>
      <c r="E27" s="8"/>
      <c r="F27" s="8"/>
      <c r="G27" s="72"/>
      <c r="H27" s="88"/>
      <c r="I27" s="81" t="s">
        <v>79</v>
      </c>
      <c r="J27" s="8"/>
    </row>
    <row r="28" spans="1:10" x14ac:dyDescent="0.25">
      <c r="A28" s="8"/>
      <c r="B28" s="8"/>
      <c r="C28" s="8"/>
      <c r="D28" s="8"/>
      <c r="E28" s="8"/>
      <c r="F28" s="8"/>
      <c r="G28" s="72"/>
      <c r="H28" s="88"/>
      <c r="I28" s="82" t="s">
        <v>84</v>
      </c>
      <c r="J28" s="8"/>
    </row>
    <row r="29" spans="1:10" x14ac:dyDescent="0.25">
      <c r="A29" s="8"/>
      <c r="B29" s="8"/>
      <c r="C29" s="8"/>
      <c r="D29" s="8"/>
      <c r="E29" s="8"/>
      <c r="F29" s="8"/>
      <c r="G29" s="72"/>
      <c r="H29" s="88"/>
      <c r="I29" s="81" t="s">
        <v>85</v>
      </c>
      <c r="J29" s="8"/>
    </row>
    <row r="30" spans="1:10" x14ac:dyDescent="0.25">
      <c r="A30" s="8"/>
      <c r="B30" s="8"/>
      <c r="C30" s="8"/>
      <c r="D30" s="8"/>
      <c r="E30" s="8"/>
      <c r="F30" s="8"/>
      <c r="G30" s="72"/>
      <c r="H30" s="88"/>
      <c r="I30" s="82" t="s">
        <v>86</v>
      </c>
      <c r="J30" s="8"/>
    </row>
    <row r="31" spans="1:10" x14ac:dyDescent="0.25">
      <c r="A31" s="8"/>
      <c r="B31" s="8"/>
      <c r="C31" s="8"/>
      <c r="D31" s="8"/>
      <c r="E31" s="8"/>
      <c r="F31" s="8"/>
      <c r="G31" s="72"/>
      <c r="H31" s="88"/>
      <c r="I31" s="81" t="s">
        <v>87</v>
      </c>
      <c r="J31" s="8"/>
    </row>
    <row r="32" spans="1:10" x14ac:dyDescent="0.25">
      <c r="A32" s="8"/>
      <c r="B32" s="8"/>
      <c r="C32" s="8"/>
      <c r="D32" s="8"/>
      <c r="E32" s="8"/>
      <c r="F32" s="8"/>
      <c r="G32" s="72"/>
      <c r="H32" s="88"/>
      <c r="I32" s="82" t="s">
        <v>88</v>
      </c>
      <c r="J32" s="8"/>
    </row>
    <row r="33" spans="1:10" x14ac:dyDescent="0.25">
      <c r="A33" s="8"/>
      <c r="B33" s="8"/>
      <c r="C33" s="8"/>
      <c r="D33" s="8"/>
      <c r="E33" s="8"/>
      <c r="F33" s="8"/>
      <c r="G33" s="72"/>
      <c r="H33" s="88"/>
      <c r="I33" s="81" t="s">
        <v>89</v>
      </c>
      <c r="J33" s="8"/>
    </row>
    <row r="34" spans="1:10" x14ac:dyDescent="0.25">
      <c r="A34" s="8"/>
      <c r="B34" s="8"/>
      <c r="C34" s="8"/>
      <c r="D34" s="8"/>
      <c r="E34" s="8"/>
      <c r="F34" s="8"/>
      <c r="G34" s="72"/>
      <c r="H34" s="88"/>
      <c r="I34" s="82" t="s">
        <v>90</v>
      </c>
      <c r="J34" s="8"/>
    </row>
    <row r="35" spans="1:10" x14ac:dyDescent="0.25">
      <c r="A35" s="8"/>
      <c r="B35" s="8"/>
      <c r="C35" s="8"/>
      <c r="D35" s="8"/>
      <c r="E35" s="8"/>
      <c r="F35" s="8"/>
      <c r="G35" s="72"/>
      <c r="H35" s="88"/>
      <c r="I35" s="81" t="s">
        <v>91</v>
      </c>
      <c r="J35" s="8"/>
    </row>
    <row r="36" spans="1:10" x14ac:dyDescent="0.25">
      <c r="A36" s="8"/>
      <c r="B36" s="8"/>
      <c r="C36" s="8"/>
      <c r="D36" s="8"/>
      <c r="E36" s="8"/>
      <c r="F36" s="8"/>
      <c r="G36" s="72"/>
      <c r="H36" s="91"/>
      <c r="I36" s="82" t="s">
        <v>92</v>
      </c>
      <c r="J36" s="8"/>
    </row>
    <row r="37" spans="1:10" x14ac:dyDescent="0.25">
      <c r="A37" s="8"/>
      <c r="B37" s="8"/>
      <c r="C37" s="8"/>
      <c r="D37" s="8"/>
      <c r="E37" s="8"/>
      <c r="F37" s="8"/>
      <c r="G37" s="92"/>
      <c r="H37" s="93"/>
      <c r="I37" s="81" t="s">
        <v>93</v>
      </c>
      <c r="J37" s="8"/>
    </row>
    <row r="38" spans="1:10" x14ac:dyDescent="0.25">
      <c r="A38" s="8"/>
      <c r="B38" s="8"/>
      <c r="C38" s="8"/>
      <c r="D38" s="8"/>
      <c r="E38" s="8"/>
      <c r="F38" s="8"/>
      <c r="G38" s="92"/>
      <c r="H38" s="93"/>
      <c r="I38" s="82" t="s">
        <v>94</v>
      </c>
      <c r="J38" s="8"/>
    </row>
    <row r="39" spans="1:10" x14ac:dyDescent="0.25">
      <c r="A39" s="8"/>
      <c r="B39" s="8"/>
      <c r="C39" s="8"/>
      <c r="D39" s="8"/>
      <c r="E39" s="8"/>
      <c r="F39" s="8"/>
      <c r="G39" s="74"/>
      <c r="H39" s="94"/>
      <c r="I39" s="81" t="s">
        <v>95</v>
      </c>
      <c r="J39" s="8"/>
    </row>
    <row r="40" spans="1:10" x14ac:dyDescent="0.25">
      <c r="A40" s="8"/>
      <c r="B40" s="8"/>
      <c r="C40" s="8"/>
      <c r="D40" s="8"/>
      <c r="E40" s="8"/>
      <c r="F40" s="8"/>
      <c r="G40" s="74"/>
      <c r="H40" s="94"/>
      <c r="I40" s="82" t="s">
        <v>96</v>
      </c>
      <c r="J40" s="8"/>
    </row>
    <row r="41" spans="1:10" x14ac:dyDescent="0.25">
      <c r="A41" s="8"/>
      <c r="B41" s="8"/>
      <c r="C41" s="8"/>
      <c r="D41" s="8"/>
      <c r="E41" s="8"/>
      <c r="F41" s="8"/>
      <c r="G41" s="74"/>
      <c r="H41" s="94"/>
      <c r="I41" s="81" t="s">
        <v>97</v>
      </c>
      <c r="J41" s="8"/>
    </row>
    <row r="42" spans="1:10" x14ac:dyDescent="0.25">
      <c r="A42" s="8"/>
      <c r="B42" s="8"/>
      <c r="C42" s="8"/>
      <c r="D42" s="8"/>
      <c r="E42" s="8"/>
      <c r="F42" s="8"/>
      <c r="G42" s="74"/>
      <c r="H42" s="94"/>
      <c r="I42" s="82" t="s">
        <v>98</v>
      </c>
      <c r="J42" s="8"/>
    </row>
    <row r="43" spans="1:10" x14ac:dyDescent="0.25">
      <c r="A43" s="8"/>
      <c r="B43" s="8"/>
      <c r="C43" s="8"/>
      <c r="D43" s="8"/>
      <c r="E43" s="8"/>
      <c r="F43" s="8"/>
      <c r="G43" s="74"/>
      <c r="H43" s="94"/>
      <c r="I43" s="81" t="s">
        <v>99</v>
      </c>
      <c r="J43" s="8"/>
    </row>
    <row r="44" spans="1:10" x14ac:dyDescent="0.25">
      <c r="A44" s="8"/>
      <c r="B44" s="8"/>
      <c r="C44" s="8"/>
      <c r="D44" s="8"/>
      <c r="E44" s="8"/>
      <c r="F44" s="8"/>
      <c r="G44" s="74"/>
      <c r="H44" s="94"/>
      <c r="I44" s="82" t="s">
        <v>21</v>
      </c>
      <c r="J44" s="8"/>
    </row>
    <row r="45" spans="1:10" x14ac:dyDescent="0.25">
      <c r="A45" s="8"/>
      <c r="B45" s="8"/>
      <c r="C45" s="8"/>
      <c r="D45" s="8"/>
      <c r="E45" s="8"/>
      <c r="F45" s="8"/>
      <c r="G45" s="74"/>
      <c r="H45" s="94"/>
      <c r="I45" s="81" t="s">
        <v>22</v>
      </c>
      <c r="J45" s="8"/>
    </row>
    <row r="46" spans="1:10" x14ac:dyDescent="0.25">
      <c r="A46" s="8"/>
      <c r="B46" s="8"/>
      <c r="C46" s="8"/>
      <c r="D46" s="8"/>
      <c r="E46" s="8"/>
      <c r="F46" s="8"/>
      <c r="G46" s="74"/>
      <c r="H46" s="94"/>
      <c r="I46" s="82" t="s">
        <v>23</v>
      </c>
      <c r="J46" s="8"/>
    </row>
    <row r="47" spans="1:10" x14ac:dyDescent="0.25">
      <c r="A47" s="8"/>
      <c r="B47" s="8"/>
      <c r="C47" s="8"/>
      <c r="D47" s="8"/>
      <c r="E47" s="8"/>
      <c r="F47" s="8"/>
      <c r="G47" s="74"/>
      <c r="H47" s="94"/>
      <c r="I47" s="81" t="s">
        <v>24</v>
      </c>
      <c r="J47" s="8"/>
    </row>
    <row r="48" spans="1:10" x14ac:dyDescent="0.25">
      <c r="A48" s="8"/>
      <c r="B48" s="8"/>
      <c r="C48" s="8"/>
      <c r="D48" s="8"/>
      <c r="E48" s="8"/>
      <c r="F48" s="8"/>
      <c r="G48" s="95"/>
      <c r="H48" s="96"/>
      <c r="I48" s="84" t="s">
        <v>25</v>
      </c>
      <c r="J48" s="8"/>
    </row>
    <row r="49" spans="1:10" x14ac:dyDescent="0.25">
      <c r="A49" s="8"/>
      <c r="B49" s="8"/>
      <c r="C49" s="8"/>
      <c r="D49" s="8"/>
      <c r="E49" s="8"/>
      <c r="F49" s="8"/>
      <c r="G49" s="86">
        <v>4</v>
      </c>
      <c r="H49" s="134" t="str">
        <f>D14</f>
        <v>Documentation</v>
      </c>
      <c r="I49" s="2" t="s">
        <v>106</v>
      </c>
      <c r="J49" s="8"/>
    </row>
    <row r="50" spans="1:10" x14ac:dyDescent="0.25">
      <c r="A50" s="8"/>
      <c r="B50" s="8"/>
      <c r="C50" s="8"/>
      <c r="D50" s="8"/>
      <c r="E50" s="8"/>
      <c r="F50" s="8"/>
      <c r="G50" s="72"/>
      <c r="H50" s="88"/>
      <c r="I50" s="3" t="s">
        <v>54</v>
      </c>
      <c r="J50" s="8"/>
    </row>
    <row r="51" spans="1:10" x14ac:dyDescent="0.25">
      <c r="A51" s="8"/>
      <c r="B51" s="8"/>
      <c r="C51" s="8"/>
      <c r="D51" s="8"/>
      <c r="E51" s="8"/>
      <c r="F51" s="8"/>
      <c r="G51" s="72"/>
      <c r="H51" s="88"/>
      <c r="I51" s="3" t="s">
        <v>55</v>
      </c>
      <c r="J51" s="8"/>
    </row>
    <row r="52" spans="1:10" x14ac:dyDescent="0.25">
      <c r="A52" s="8"/>
      <c r="B52" s="8"/>
      <c r="C52" s="8"/>
      <c r="D52" s="8"/>
      <c r="E52" s="8"/>
      <c r="F52" s="8"/>
      <c r="G52" s="72"/>
      <c r="H52" s="88"/>
      <c r="I52" s="3" t="s">
        <v>56</v>
      </c>
      <c r="J52" s="8"/>
    </row>
    <row r="53" spans="1:10" x14ac:dyDescent="0.25">
      <c r="A53" s="8"/>
      <c r="B53" s="8"/>
      <c r="C53" s="8"/>
      <c r="D53" s="8"/>
      <c r="E53" s="8"/>
      <c r="F53" s="8"/>
      <c r="G53" s="72"/>
      <c r="H53" s="88"/>
      <c r="I53" s="3" t="s">
        <v>80</v>
      </c>
      <c r="J53" s="8"/>
    </row>
    <row r="54" spans="1:10" x14ac:dyDescent="0.25">
      <c r="A54" s="8"/>
      <c r="B54" s="8"/>
      <c r="C54" s="8"/>
      <c r="D54" s="8"/>
      <c r="E54" s="8"/>
      <c r="F54" s="8"/>
      <c r="G54" s="73"/>
      <c r="H54" s="89"/>
      <c r="I54" s="4" t="s">
        <v>108</v>
      </c>
      <c r="J54" s="8"/>
    </row>
    <row r="55" spans="1:10" x14ac:dyDescent="0.25">
      <c r="A55" s="8"/>
      <c r="B55" s="8"/>
      <c r="C55" s="8"/>
      <c r="D55" s="8"/>
      <c r="E55" s="8"/>
      <c r="F55" s="8"/>
      <c r="G55" s="86">
        <v>5</v>
      </c>
      <c r="H55" s="134" t="str">
        <f>D15</f>
        <v>Test</v>
      </c>
      <c r="I55" s="83" t="s">
        <v>71</v>
      </c>
      <c r="J55" s="8"/>
    </row>
    <row r="56" spans="1:10" x14ac:dyDescent="0.25">
      <c r="A56" s="8"/>
      <c r="B56" s="8"/>
      <c r="C56" s="8"/>
      <c r="D56" s="8"/>
      <c r="E56" s="8"/>
      <c r="F56" s="8"/>
      <c r="G56" s="72"/>
      <c r="H56" s="88"/>
      <c r="I56" s="82" t="s">
        <v>72</v>
      </c>
      <c r="J56" s="8"/>
    </row>
    <row r="57" spans="1:10" x14ac:dyDescent="0.25">
      <c r="A57" s="8"/>
      <c r="B57" s="8"/>
      <c r="C57" s="8"/>
      <c r="D57" s="8"/>
      <c r="E57" s="8"/>
      <c r="F57" s="8"/>
      <c r="G57" s="72"/>
      <c r="H57" s="88"/>
      <c r="I57" s="82" t="s">
        <v>73</v>
      </c>
      <c r="J57" s="8"/>
    </row>
    <row r="58" spans="1:10" x14ac:dyDescent="0.25">
      <c r="A58" s="8"/>
      <c r="B58" s="8"/>
      <c r="C58" s="8"/>
      <c r="D58" s="8"/>
      <c r="E58" s="8"/>
      <c r="F58" s="8"/>
      <c r="G58" s="72"/>
      <c r="H58" s="88"/>
      <c r="I58" s="82" t="s">
        <v>74</v>
      </c>
      <c r="J58" s="8"/>
    </row>
    <row r="59" spans="1:10" x14ac:dyDescent="0.25">
      <c r="A59" s="8"/>
      <c r="B59" s="8"/>
      <c r="C59" s="8"/>
      <c r="D59" s="8"/>
      <c r="E59" s="8"/>
      <c r="F59" s="8"/>
      <c r="G59" s="72"/>
      <c r="H59" s="88"/>
      <c r="I59" s="82" t="s">
        <v>12</v>
      </c>
      <c r="J59" s="8"/>
    </row>
    <row r="60" spans="1:10" x14ac:dyDescent="0.25">
      <c r="A60" s="8"/>
      <c r="B60" s="8"/>
      <c r="C60" s="8"/>
      <c r="D60" s="8"/>
      <c r="E60" s="8"/>
      <c r="F60" s="8"/>
      <c r="G60" s="73"/>
      <c r="H60" s="89"/>
      <c r="I60" s="84" t="s">
        <v>13</v>
      </c>
      <c r="J60" s="8"/>
    </row>
    <row r="61" spans="1:10" x14ac:dyDescent="0.25">
      <c r="A61" s="8"/>
      <c r="B61" s="8"/>
      <c r="C61" s="8"/>
      <c r="D61" s="8"/>
      <c r="E61" s="8"/>
      <c r="F61" s="8"/>
      <c r="G61" s="72">
        <v>6</v>
      </c>
      <c r="H61" s="135" t="str">
        <f>D16</f>
        <v>Réunion</v>
      </c>
      <c r="I61" s="83" t="s">
        <v>67</v>
      </c>
      <c r="J61" s="8"/>
    </row>
    <row r="62" spans="1:10" x14ac:dyDescent="0.25">
      <c r="A62" s="8"/>
      <c r="B62" s="8"/>
      <c r="C62" s="8"/>
      <c r="D62" s="8"/>
      <c r="E62" s="8"/>
      <c r="F62" s="8"/>
      <c r="G62" s="72"/>
      <c r="H62" s="88"/>
      <c r="I62" s="82" t="s">
        <v>68</v>
      </c>
      <c r="J62" s="8"/>
    </row>
    <row r="63" spans="1:10" x14ac:dyDescent="0.25">
      <c r="A63" s="8"/>
      <c r="B63" s="8"/>
      <c r="C63" s="8"/>
      <c r="D63" s="8"/>
      <c r="E63" s="8"/>
      <c r="F63" s="8"/>
      <c r="G63" s="72"/>
      <c r="H63" s="88"/>
      <c r="I63" s="82" t="s">
        <v>69</v>
      </c>
      <c r="J63" s="8"/>
    </row>
    <row r="64" spans="1:10" x14ac:dyDescent="0.25">
      <c r="A64" s="8"/>
      <c r="B64" s="8"/>
      <c r="C64" s="8"/>
      <c r="D64" s="8"/>
      <c r="E64" s="8"/>
      <c r="F64" s="8"/>
      <c r="G64" s="72"/>
      <c r="H64" s="88"/>
      <c r="I64" s="82" t="s">
        <v>70</v>
      </c>
      <c r="J64" s="8"/>
    </row>
    <row r="65" spans="1:10" x14ac:dyDescent="0.25">
      <c r="A65" s="8"/>
      <c r="B65" s="8"/>
      <c r="C65" s="8"/>
      <c r="D65" s="8"/>
      <c r="E65" s="8"/>
      <c r="F65" s="8"/>
      <c r="G65" s="72"/>
      <c r="H65" s="88"/>
      <c r="I65" s="82" t="s">
        <v>14</v>
      </c>
      <c r="J65" s="8"/>
    </row>
    <row r="66" spans="1:10" x14ac:dyDescent="0.25">
      <c r="A66" s="8"/>
      <c r="B66" s="8"/>
      <c r="C66" s="8"/>
      <c r="D66" s="8"/>
      <c r="E66" s="8"/>
      <c r="F66" s="8"/>
      <c r="G66" s="73"/>
      <c r="H66" s="89"/>
      <c r="I66" s="84" t="s">
        <v>15</v>
      </c>
      <c r="J66" s="8"/>
    </row>
    <row r="67" spans="1:10" x14ac:dyDescent="0.25">
      <c r="A67" s="8"/>
      <c r="B67" s="8"/>
      <c r="C67" s="8"/>
      <c r="D67" s="8"/>
      <c r="E67" s="8"/>
      <c r="F67" s="8"/>
      <c r="G67" s="8"/>
      <c r="H67" s="79"/>
      <c r="I67" s="8"/>
      <c r="J67" s="8"/>
    </row>
  </sheetData>
  <mergeCells count="3">
    <mergeCell ref="G3:H3"/>
    <mergeCell ref="C10:D10"/>
    <mergeCell ref="B18:C1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99"/>
    <pageSetUpPr fitToPage="1"/>
  </sheetPr>
  <dimension ref="B1:DY93"/>
  <sheetViews>
    <sheetView zoomScaleNormal="100" zoomScaleSheetLayoutView="70" zoomScalePageLayoutView="70" workbookViewId="0">
      <selection activeCell="DV12" sqref="DV12"/>
    </sheetView>
  </sheetViews>
  <sheetFormatPr baseColWidth="10" defaultRowHeight="15" x14ac:dyDescent="0.25"/>
  <cols>
    <col min="1" max="1" width="1.28515625" customWidth="1"/>
    <col min="2" max="2" width="40.28515625" style="17" customWidth="1"/>
    <col min="3" max="123" width="1.7109375" style="34" customWidth="1"/>
    <col min="124" max="129" width="2.7109375" customWidth="1"/>
  </cols>
  <sheetData>
    <row r="1" spans="2:129" ht="8.25" customHeight="1" thickBot="1" x14ac:dyDescent="0.3"/>
    <row r="2" spans="2:129" ht="60.75" customHeight="1" thickBot="1" x14ac:dyDescent="0.3">
      <c r="B2" s="228" t="s">
        <v>124</v>
      </c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  <c r="AK2" s="229"/>
      <c r="AL2" s="229"/>
      <c r="AM2" s="229"/>
      <c r="AN2" s="229"/>
      <c r="AO2" s="229"/>
      <c r="AP2" s="229"/>
      <c r="AQ2" s="229"/>
      <c r="AR2" s="229"/>
      <c r="AS2" s="229"/>
      <c r="AT2" s="229"/>
      <c r="AU2" s="229"/>
      <c r="AV2" s="229"/>
      <c r="AW2" s="229"/>
      <c r="AX2" s="229"/>
      <c r="AY2" s="229"/>
      <c r="AZ2" s="229"/>
      <c r="BA2" s="229"/>
      <c r="BB2" s="229"/>
      <c r="BC2" s="229"/>
      <c r="BD2" s="229"/>
      <c r="BE2" s="229"/>
      <c r="BF2" s="229"/>
      <c r="BG2" s="229"/>
      <c r="BH2" s="229"/>
      <c r="BI2" s="229"/>
      <c r="BJ2" s="229"/>
      <c r="BK2" s="229"/>
      <c r="BL2" s="229"/>
      <c r="BM2" s="229"/>
      <c r="BN2" s="229"/>
      <c r="BO2" s="229"/>
      <c r="BP2" s="229"/>
      <c r="BQ2" s="229"/>
      <c r="BR2" s="229"/>
      <c r="BS2" s="229"/>
      <c r="BT2" s="229"/>
      <c r="BU2" s="229"/>
      <c r="BV2" s="229"/>
      <c r="BW2" s="229"/>
      <c r="BX2" s="229"/>
      <c r="BY2" s="229"/>
      <c r="BZ2" s="229"/>
      <c r="CA2" s="229"/>
      <c r="CB2" s="229"/>
      <c r="CC2" s="229"/>
      <c r="CD2" s="229"/>
      <c r="CE2" s="229"/>
      <c r="CF2" s="229"/>
      <c r="CG2" s="229"/>
      <c r="CH2" s="229"/>
      <c r="CI2" s="229"/>
      <c r="CJ2" s="229"/>
      <c r="CK2" s="229"/>
      <c r="CL2" s="229"/>
      <c r="CM2" s="229"/>
      <c r="CN2" s="229"/>
      <c r="CO2" s="229"/>
      <c r="CP2" s="229"/>
      <c r="CQ2" s="229"/>
      <c r="CR2" s="229"/>
      <c r="CS2" s="229"/>
      <c r="CT2" s="229"/>
      <c r="CU2" s="229"/>
      <c r="CV2" s="229"/>
      <c r="CW2" s="229"/>
      <c r="CX2" s="229"/>
      <c r="CY2" s="229"/>
      <c r="CZ2" s="229"/>
      <c r="DA2" s="229"/>
      <c r="DB2" s="229"/>
      <c r="DC2" s="229"/>
      <c r="DD2" s="229"/>
      <c r="DE2" s="229"/>
      <c r="DF2" s="229"/>
      <c r="DG2" s="229"/>
      <c r="DH2" s="229"/>
      <c r="DI2" s="229"/>
      <c r="DJ2" s="229"/>
      <c r="DK2" s="229"/>
      <c r="DL2" s="229"/>
      <c r="DM2" s="229"/>
      <c r="DN2" s="229"/>
      <c r="DO2" s="229"/>
      <c r="DP2" s="229"/>
      <c r="DQ2" s="229"/>
      <c r="DR2" s="229"/>
      <c r="DS2" s="230"/>
    </row>
    <row r="3" spans="2:129" s="102" customFormat="1" ht="62.25" customHeight="1" x14ac:dyDescent="0.5">
      <c r="B3" s="222"/>
      <c r="C3" s="223">
        <f>Base!B6</f>
        <v>44319</v>
      </c>
      <c r="D3" s="224"/>
      <c r="E3" s="224"/>
      <c r="F3" s="224"/>
      <c r="G3" s="224"/>
      <c r="H3" s="224"/>
      <c r="I3" s="224"/>
      <c r="J3" s="225"/>
      <c r="K3" s="226">
        <f>C3+1</f>
        <v>44320</v>
      </c>
      <c r="L3" s="224"/>
      <c r="M3" s="224"/>
      <c r="N3" s="224"/>
      <c r="O3" s="225"/>
      <c r="P3" s="226">
        <f>K3+1</f>
        <v>44321</v>
      </c>
      <c r="Q3" s="224"/>
      <c r="R3" s="224"/>
      <c r="S3" s="224"/>
      <c r="T3" s="224"/>
      <c r="U3" s="224"/>
      <c r="V3" s="224"/>
      <c r="W3" s="224"/>
      <c r="X3" s="225"/>
      <c r="Y3" s="226">
        <f>P3+1</f>
        <v>44322</v>
      </c>
      <c r="Z3" s="224"/>
      <c r="AA3" s="224"/>
      <c r="AB3" s="224"/>
      <c r="AC3" s="224"/>
      <c r="AD3" s="224"/>
      <c r="AE3" s="224"/>
      <c r="AF3" s="225"/>
      <c r="AG3" s="223">
        <v>44326</v>
      </c>
      <c r="AH3" s="224"/>
      <c r="AI3" s="224"/>
      <c r="AJ3" s="224"/>
      <c r="AK3" s="224"/>
      <c r="AL3" s="224"/>
      <c r="AM3" s="224"/>
      <c r="AN3" s="225"/>
      <c r="AO3" s="226">
        <f>AG3+1</f>
        <v>44327</v>
      </c>
      <c r="AP3" s="224"/>
      <c r="AQ3" s="224"/>
      <c r="AR3" s="224"/>
      <c r="AS3" s="225"/>
      <c r="AT3" s="226">
        <f>AO3+1</f>
        <v>44328</v>
      </c>
      <c r="AU3" s="224"/>
      <c r="AV3" s="224"/>
      <c r="AW3" s="224"/>
      <c r="AX3" s="224"/>
      <c r="AY3" s="224"/>
      <c r="AZ3" s="224"/>
      <c r="BA3" s="224"/>
      <c r="BB3" s="225"/>
      <c r="BC3" s="223">
        <f>AT3+5</f>
        <v>44333</v>
      </c>
      <c r="BD3" s="224"/>
      <c r="BE3" s="224"/>
      <c r="BF3" s="224"/>
      <c r="BG3" s="224"/>
      <c r="BH3" s="224"/>
      <c r="BI3" s="224"/>
      <c r="BJ3" s="225"/>
      <c r="BK3" s="226">
        <f>BC3+1</f>
        <v>44334</v>
      </c>
      <c r="BL3" s="224"/>
      <c r="BM3" s="224"/>
      <c r="BN3" s="224"/>
      <c r="BO3" s="225"/>
      <c r="BP3" s="226">
        <f>BK3+1</f>
        <v>44335</v>
      </c>
      <c r="BQ3" s="224"/>
      <c r="BR3" s="224"/>
      <c r="BS3" s="224"/>
      <c r="BT3" s="224"/>
      <c r="BU3" s="224"/>
      <c r="BV3" s="224"/>
      <c r="BW3" s="224"/>
      <c r="BX3" s="225"/>
      <c r="BY3" s="226">
        <f>BP3+1</f>
        <v>44336</v>
      </c>
      <c r="BZ3" s="224"/>
      <c r="CA3" s="224"/>
      <c r="CB3" s="224"/>
      <c r="CC3" s="224"/>
      <c r="CD3" s="224"/>
      <c r="CE3" s="224"/>
      <c r="CF3" s="225"/>
      <c r="CG3" s="226">
        <f>BY3+5</f>
        <v>44341</v>
      </c>
      <c r="CH3" s="224"/>
      <c r="CI3" s="224"/>
      <c r="CJ3" s="224"/>
      <c r="CK3" s="225"/>
      <c r="CL3" s="226">
        <f>CG3+1</f>
        <v>44342</v>
      </c>
      <c r="CM3" s="224"/>
      <c r="CN3" s="224"/>
      <c r="CO3" s="224"/>
      <c r="CP3" s="224"/>
      <c r="CQ3" s="224"/>
      <c r="CR3" s="224"/>
      <c r="CS3" s="224"/>
      <c r="CT3" s="225"/>
      <c r="CU3" s="226">
        <f>CL3+1</f>
        <v>44343</v>
      </c>
      <c r="CV3" s="224"/>
      <c r="CW3" s="224"/>
      <c r="CX3" s="224"/>
      <c r="CY3" s="224"/>
      <c r="CZ3" s="224"/>
      <c r="DA3" s="224"/>
      <c r="DB3" s="225"/>
      <c r="DC3" s="223">
        <f>CU3+4</f>
        <v>44347</v>
      </c>
      <c r="DD3" s="224"/>
      <c r="DE3" s="224"/>
      <c r="DF3" s="224"/>
      <c r="DG3" s="224"/>
      <c r="DH3" s="224"/>
      <c r="DI3" s="224"/>
      <c r="DJ3" s="225"/>
      <c r="DK3" s="226">
        <f>DC3+1</f>
        <v>44348</v>
      </c>
      <c r="DL3" s="224"/>
      <c r="DM3" s="224"/>
      <c r="DN3" s="224"/>
      <c r="DO3" s="225"/>
      <c r="DP3" s="226">
        <f>DK3+1</f>
        <v>44349</v>
      </c>
      <c r="DQ3" s="224"/>
      <c r="DR3" s="224"/>
      <c r="DS3" s="227"/>
      <c r="DT3" s="221"/>
      <c r="DU3" s="221"/>
      <c r="DV3" s="221"/>
      <c r="DW3" s="221"/>
      <c r="DX3" s="221"/>
      <c r="DY3" s="221"/>
    </row>
    <row r="4" spans="2:129" s="15" customFormat="1" ht="19.5" thickBot="1" x14ac:dyDescent="0.3">
      <c r="B4" s="71" t="s">
        <v>8</v>
      </c>
      <c r="C4" s="203">
        <f>_xlfn.ISOWEEKNUM(C3)</f>
        <v>18</v>
      </c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  <c r="AC4" s="203"/>
      <c r="AD4" s="203"/>
      <c r="AE4" s="203"/>
      <c r="AF4" s="203"/>
      <c r="AG4" s="202">
        <f>_xlfn.ISOWEEKNUM(AG3)</f>
        <v>19</v>
      </c>
      <c r="AH4" s="203"/>
      <c r="AI4" s="203"/>
      <c r="AJ4" s="203"/>
      <c r="AK4" s="203"/>
      <c r="AL4" s="203"/>
      <c r="AM4" s="203"/>
      <c r="AN4" s="203"/>
      <c r="AO4" s="203"/>
      <c r="AP4" s="203"/>
      <c r="AQ4" s="203"/>
      <c r="AR4" s="203"/>
      <c r="AS4" s="203"/>
      <c r="AT4" s="203"/>
      <c r="AU4" s="203"/>
      <c r="AV4" s="203"/>
      <c r="AW4" s="203"/>
      <c r="AX4" s="203"/>
      <c r="AY4" s="203"/>
      <c r="AZ4" s="203"/>
      <c r="BA4" s="203"/>
      <c r="BB4" s="203"/>
      <c r="BC4" s="203">
        <f>_xlfn.ISOWEEKNUM(BC3)</f>
        <v>20</v>
      </c>
      <c r="BD4" s="203"/>
      <c r="BE4" s="203"/>
      <c r="BF4" s="203"/>
      <c r="BG4" s="203"/>
      <c r="BH4" s="203"/>
      <c r="BI4" s="203"/>
      <c r="BJ4" s="203"/>
      <c r="BK4" s="203"/>
      <c r="BL4" s="203"/>
      <c r="BM4" s="203"/>
      <c r="BN4" s="203"/>
      <c r="BO4" s="203"/>
      <c r="BP4" s="203"/>
      <c r="BQ4" s="203"/>
      <c r="BR4" s="203"/>
      <c r="BS4" s="203"/>
      <c r="BT4" s="203"/>
      <c r="BU4" s="203"/>
      <c r="BV4" s="203"/>
      <c r="BW4" s="203"/>
      <c r="BX4" s="203"/>
      <c r="BY4" s="203"/>
      <c r="BZ4" s="203"/>
      <c r="CA4" s="203"/>
      <c r="CB4" s="203"/>
      <c r="CC4" s="203"/>
      <c r="CD4" s="203"/>
      <c r="CE4" s="203"/>
      <c r="CF4" s="203"/>
      <c r="CG4" s="203"/>
      <c r="CH4" s="203"/>
      <c r="CI4" s="203"/>
      <c r="CJ4" s="203"/>
      <c r="CK4" s="203"/>
      <c r="CL4" s="203"/>
      <c r="CM4" s="203"/>
      <c r="CN4" s="203"/>
      <c r="CO4" s="203"/>
      <c r="CP4" s="203"/>
      <c r="CQ4" s="203"/>
      <c r="CR4" s="203"/>
      <c r="CS4" s="203"/>
      <c r="CT4" s="203"/>
      <c r="CU4" s="203"/>
      <c r="CV4" s="203"/>
      <c r="CW4" s="203"/>
      <c r="CX4" s="203"/>
      <c r="CY4" s="203"/>
      <c r="CZ4" s="203"/>
      <c r="DA4" s="203"/>
      <c r="DB4" s="203"/>
      <c r="DC4" s="202">
        <f>_xlfn.ISOWEEKNUM(DC3)</f>
        <v>22</v>
      </c>
      <c r="DD4" s="203"/>
      <c r="DE4" s="203"/>
      <c r="DF4" s="203"/>
      <c r="DG4" s="203"/>
      <c r="DH4" s="203"/>
      <c r="DI4" s="203"/>
      <c r="DJ4" s="203"/>
      <c r="DK4" s="203"/>
      <c r="DL4" s="203"/>
      <c r="DM4" s="203"/>
      <c r="DN4" s="203"/>
      <c r="DO4" s="203"/>
      <c r="DP4" s="203"/>
      <c r="DQ4" s="203"/>
      <c r="DR4" s="203"/>
      <c r="DS4" s="204"/>
      <c r="DT4" s="16"/>
      <c r="DU4" s="16"/>
      <c r="DV4" s="16"/>
      <c r="DW4" s="16"/>
      <c r="DX4" s="16"/>
      <c r="DY4" s="16"/>
    </row>
    <row r="5" spans="2:129" s="13" customFormat="1" ht="15.75" customHeight="1" x14ac:dyDescent="0.25">
      <c r="B5" s="211" t="str">
        <f>Base!H4</f>
        <v>Analyse</v>
      </c>
      <c r="C5" s="26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6"/>
    </row>
    <row r="6" spans="2:129" s="13" customFormat="1" ht="15.75" customHeight="1" thickBot="1" x14ac:dyDescent="0.3">
      <c r="B6" s="212"/>
      <c r="C6" s="2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8"/>
    </row>
    <row r="7" spans="2:129" x14ac:dyDescent="0.25">
      <c r="B7" s="1" t="str">
        <f>Base!I4</f>
        <v>101 planification initiale</v>
      </c>
      <c r="C7" s="65"/>
      <c r="D7" s="40"/>
      <c r="E7" s="161"/>
      <c r="F7" s="161"/>
      <c r="G7" s="40"/>
      <c r="H7" s="40"/>
      <c r="I7" s="40"/>
      <c r="J7" s="40"/>
      <c r="K7" s="40"/>
      <c r="L7" s="40"/>
      <c r="M7" s="40"/>
      <c r="N7" s="40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65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114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92"/>
      <c r="CG7" s="40"/>
      <c r="CH7" s="40"/>
      <c r="CI7" s="40"/>
      <c r="CJ7" s="40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65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39"/>
      <c r="DP7" s="39"/>
      <c r="DQ7" s="39"/>
      <c r="DR7" s="39"/>
      <c r="DS7" s="61"/>
    </row>
    <row r="8" spans="2:129" x14ac:dyDescent="0.25">
      <c r="B8" s="1" t="str">
        <f>Base!I5</f>
        <v>102 objectifs du projet</v>
      </c>
      <c r="C8" s="65"/>
      <c r="D8" s="40"/>
      <c r="E8" s="40"/>
      <c r="F8" s="40"/>
      <c r="G8" s="161"/>
      <c r="H8" s="161"/>
      <c r="I8" s="40"/>
      <c r="J8" s="40"/>
      <c r="K8" s="40"/>
      <c r="L8" s="40"/>
      <c r="M8" s="40"/>
      <c r="N8" s="40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65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65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61"/>
      <c r="CG8" s="40"/>
      <c r="CH8" s="40"/>
      <c r="CI8" s="40"/>
      <c r="CJ8" s="40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65"/>
      <c r="DD8" s="40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39"/>
      <c r="DP8" s="39"/>
      <c r="DQ8" s="39"/>
      <c r="DR8" s="39"/>
      <c r="DS8" s="61"/>
    </row>
    <row r="9" spans="2:129" x14ac:dyDescent="0.25">
      <c r="B9" s="1" t="str">
        <f>Base!I6</f>
        <v>103 introduction du projet</v>
      </c>
      <c r="C9" s="65"/>
      <c r="D9" s="40"/>
      <c r="E9" s="40"/>
      <c r="F9" s="40"/>
      <c r="G9" s="40"/>
      <c r="H9" s="161"/>
      <c r="I9" s="161"/>
      <c r="J9" s="40"/>
      <c r="K9" s="40"/>
      <c r="L9" s="40"/>
      <c r="M9" s="40"/>
      <c r="N9" s="40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65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65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61"/>
      <c r="CG9" s="40"/>
      <c r="CH9" s="40"/>
      <c r="CI9" s="40"/>
      <c r="CJ9" s="40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65"/>
      <c r="DD9" s="40"/>
      <c r="DE9" s="40"/>
      <c r="DF9" s="40"/>
      <c r="DG9" s="40"/>
      <c r="DH9" s="40"/>
      <c r="DI9" s="40"/>
      <c r="DJ9" s="40"/>
      <c r="DK9" s="40"/>
      <c r="DL9" s="40"/>
      <c r="DM9" s="40"/>
      <c r="DN9" s="40"/>
      <c r="DO9" s="39"/>
      <c r="DP9" s="39"/>
      <c r="DQ9" s="39"/>
      <c r="DR9" s="39"/>
      <c r="DS9" s="61"/>
    </row>
    <row r="10" spans="2:129" ht="30" x14ac:dyDescent="0.25">
      <c r="B10" s="1" t="str">
        <f>Base!I7</f>
        <v>104 découpage du projet en tâches distinctes</v>
      </c>
      <c r="C10" s="65"/>
      <c r="D10" s="161"/>
      <c r="E10" s="161"/>
      <c r="F10" s="40"/>
      <c r="G10" s="40"/>
      <c r="H10" s="40"/>
      <c r="I10" s="40"/>
      <c r="J10" s="40"/>
      <c r="K10" s="40"/>
      <c r="L10" s="40"/>
      <c r="M10" s="40"/>
      <c r="N10" s="40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65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65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61"/>
      <c r="CG10" s="40"/>
      <c r="CH10" s="40"/>
      <c r="CI10" s="40"/>
      <c r="CJ10" s="40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65"/>
      <c r="DD10" s="40"/>
      <c r="DE10" s="40"/>
      <c r="DF10" s="40"/>
      <c r="DG10" s="40"/>
      <c r="DH10" s="40"/>
      <c r="DI10" s="40"/>
      <c r="DJ10" s="40"/>
      <c r="DK10" s="40"/>
      <c r="DL10" s="40"/>
      <c r="DM10" s="40"/>
      <c r="DN10" s="40"/>
      <c r="DO10" s="39"/>
      <c r="DP10" s="39"/>
      <c r="DQ10" s="39"/>
      <c r="DR10" s="39"/>
      <c r="DS10" s="61"/>
    </row>
    <row r="11" spans="2:129" x14ac:dyDescent="0.25">
      <c r="B11" s="1" t="str">
        <f>Base!I8</f>
        <v>105 -</v>
      </c>
      <c r="C11" s="65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65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65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61"/>
      <c r="CG11" s="40"/>
      <c r="CH11" s="40"/>
      <c r="CI11" s="40"/>
      <c r="CJ11" s="40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65"/>
      <c r="DD11" s="40"/>
      <c r="DE11" s="40"/>
      <c r="DF11" s="40"/>
      <c r="DG11" s="40"/>
      <c r="DH11" s="40"/>
      <c r="DI11" s="40"/>
      <c r="DJ11" s="40"/>
      <c r="DK11" s="40"/>
      <c r="DL11" s="40"/>
      <c r="DM11" s="40"/>
      <c r="DN11" s="40"/>
      <c r="DO11" s="39"/>
      <c r="DP11" s="39"/>
      <c r="DQ11" s="39"/>
      <c r="DR11" s="39"/>
      <c r="DS11" s="61"/>
    </row>
    <row r="12" spans="2:129" ht="15" customHeight="1" thickBot="1" x14ac:dyDescent="0.3">
      <c r="B12" s="1" t="str">
        <f>Base!I9</f>
        <v>106 -</v>
      </c>
      <c r="C12" s="67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67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66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64"/>
      <c r="CG12" s="42"/>
      <c r="CH12" s="42"/>
      <c r="CI12" s="42"/>
      <c r="CJ12" s="42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67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1"/>
      <c r="DP12" s="41"/>
      <c r="DQ12" s="41"/>
      <c r="DR12" s="41"/>
      <c r="DS12" s="62"/>
    </row>
    <row r="13" spans="2:129" ht="15" customHeight="1" x14ac:dyDescent="0.25">
      <c r="B13" s="209" t="str">
        <f>Base!H10</f>
        <v>Conception</v>
      </c>
      <c r="C13" s="24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69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69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43"/>
      <c r="CY13" s="43"/>
      <c r="CZ13" s="43"/>
      <c r="DA13" s="43"/>
      <c r="DB13" s="69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43"/>
      <c r="DS13" s="112"/>
    </row>
    <row r="14" spans="2:129" ht="15" customHeight="1" thickBot="1" x14ac:dyDescent="0.3">
      <c r="B14" s="210"/>
      <c r="C14" s="25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70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70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70"/>
      <c r="DC14" s="44"/>
      <c r="DD14" s="44"/>
      <c r="DE14" s="44"/>
      <c r="DF14" s="44"/>
      <c r="DG14" s="44"/>
      <c r="DH14" s="44"/>
      <c r="DI14" s="44"/>
      <c r="DJ14" s="44"/>
      <c r="DK14" s="44"/>
      <c r="DL14" s="44"/>
      <c r="DM14" s="44"/>
      <c r="DN14" s="44"/>
      <c r="DO14" s="44"/>
      <c r="DP14" s="44"/>
      <c r="DQ14" s="44"/>
      <c r="DR14" s="44"/>
      <c r="DS14" s="113"/>
    </row>
    <row r="15" spans="2:129" x14ac:dyDescent="0.25">
      <c r="B15" s="1" t="str">
        <f>Base!I10</f>
        <v>201 choix de l'architecture</v>
      </c>
      <c r="C15" s="68"/>
      <c r="D15" s="46"/>
      <c r="E15" s="46"/>
      <c r="F15" s="46"/>
      <c r="G15" s="46"/>
      <c r="H15" s="46"/>
      <c r="I15" s="46"/>
      <c r="J15" s="163"/>
      <c r="K15" s="46"/>
      <c r="L15" s="46"/>
      <c r="M15" s="46"/>
      <c r="N15" s="46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68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114"/>
      <c r="BD15" s="115"/>
      <c r="BE15" s="115"/>
      <c r="BF15" s="115"/>
      <c r="BG15" s="115"/>
      <c r="BH15" s="115"/>
      <c r="BI15" s="115"/>
      <c r="BJ15" s="115"/>
      <c r="BK15" s="115"/>
      <c r="BL15" s="115"/>
      <c r="BM15" s="115"/>
      <c r="BN15" s="115"/>
      <c r="BO15" s="116"/>
      <c r="BP15" s="116"/>
      <c r="BQ15" s="116"/>
      <c r="BR15" s="116"/>
      <c r="BS15" s="116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92"/>
      <c r="CG15" s="46"/>
      <c r="CH15" s="46"/>
      <c r="CI15" s="46"/>
      <c r="CJ15" s="46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45"/>
      <c r="CY15" s="45"/>
      <c r="CZ15" s="45"/>
      <c r="DA15" s="45"/>
      <c r="DB15" s="45"/>
      <c r="DC15" s="68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5"/>
      <c r="DP15" s="45"/>
      <c r="DQ15" s="45"/>
      <c r="DR15" s="45"/>
      <c r="DS15" s="63"/>
    </row>
    <row r="16" spans="2:129" ht="30" x14ac:dyDescent="0.25">
      <c r="B16" s="1" t="str">
        <f>Base!I11</f>
        <v>202 modélisation conceptuelle de la BDD</v>
      </c>
      <c r="C16" s="68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5"/>
      <c r="P16" s="45"/>
      <c r="Q16" s="179"/>
      <c r="R16" s="179"/>
      <c r="S16" s="179"/>
      <c r="T16" s="179"/>
      <c r="U16" s="179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68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68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63"/>
      <c r="CG16" s="46"/>
      <c r="CH16" s="46"/>
      <c r="CI16" s="46"/>
      <c r="CJ16" s="46"/>
      <c r="CK16" s="45"/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68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5"/>
      <c r="DP16" s="45"/>
      <c r="DQ16" s="45"/>
      <c r="DR16" s="45"/>
      <c r="DS16" s="63"/>
    </row>
    <row r="17" spans="2:123" ht="15" customHeight="1" x14ac:dyDescent="0.25">
      <c r="B17" s="1" t="str">
        <f>Base!I12</f>
        <v>203 modélisation logique de la BDD</v>
      </c>
      <c r="C17" s="68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5"/>
      <c r="P17" s="45"/>
      <c r="Q17" s="45"/>
      <c r="R17" s="45"/>
      <c r="S17" s="45"/>
      <c r="T17" s="45"/>
      <c r="U17" s="179"/>
      <c r="V17" s="179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68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68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63"/>
      <c r="CG17" s="46"/>
      <c r="CH17" s="46"/>
      <c r="CI17" s="46"/>
      <c r="CJ17" s="46"/>
      <c r="CK17" s="45"/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68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5"/>
      <c r="DP17" s="45"/>
      <c r="DQ17" s="45"/>
      <c r="DR17" s="45"/>
      <c r="DS17" s="63"/>
    </row>
    <row r="18" spans="2:123" x14ac:dyDescent="0.25">
      <c r="B18" s="1" t="str">
        <f>Base!I13</f>
        <v>204 maquettes de l'application</v>
      </c>
      <c r="C18" s="68"/>
      <c r="D18" s="46"/>
      <c r="E18" s="46"/>
      <c r="F18" s="46"/>
      <c r="G18" s="46"/>
      <c r="H18" s="46"/>
      <c r="I18" s="46"/>
      <c r="J18" s="46"/>
      <c r="K18" s="46"/>
      <c r="L18" s="46"/>
      <c r="M18" s="163"/>
      <c r="N18" s="163"/>
      <c r="O18" s="179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68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68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63"/>
      <c r="CG18" s="46"/>
      <c r="CH18" s="46"/>
      <c r="CI18" s="46"/>
      <c r="CJ18" s="46"/>
      <c r="CK18" s="45"/>
      <c r="CL18" s="45"/>
      <c r="CM18" s="45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68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5"/>
      <c r="DP18" s="45"/>
      <c r="DQ18" s="45"/>
      <c r="DR18" s="45"/>
      <c r="DS18" s="63"/>
    </row>
    <row r="19" spans="2:123" ht="15" customHeight="1" x14ac:dyDescent="0.25">
      <c r="B19" s="1" t="str">
        <f>Base!I14</f>
        <v>205 diagrammes de flux</v>
      </c>
      <c r="C19" s="68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179"/>
      <c r="Z19" s="45"/>
      <c r="AA19" s="45"/>
      <c r="AB19" s="45"/>
      <c r="AC19" s="45"/>
      <c r="AD19" s="45"/>
      <c r="AE19" s="45"/>
      <c r="AF19" s="45"/>
      <c r="AG19" s="68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68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63"/>
      <c r="CG19" s="46"/>
      <c r="CH19" s="46"/>
      <c r="CI19" s="46"/>
      <c r="CJ19" s="46"/>
      <c r="CK19" s="45"/>
      <c r="CL19" s="45"/>
      <c r="CM19" s="45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68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5"/>
      <c r="DP19" s="45"/>
      <c r="DQ19" s="45"/>
      <c r="DR19" s="45"/>
      <c r="DS19" s="63"/>
    </row>
    <row r="20" spans="2:123" ht="15" customHeight="1" x14ac:dyDescent="0.25">
      <c r="B20" s="1" t="str">
        <f>Base!I15</f>
        <v>206 cas d'utilisation de l'application</v>
      </c>
      <c r="C20" s="68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179"/>
      <c r="AB20" s="45"/>
      <c r="AC20" s="45"/>
      <c r="AD20" s="45"/>
      <c r="AE20" s="45"/>
      <c r="AF20" s="45"/>
      <c r="AG20" s="68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68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63"/>
      <c r="CG20" s="46"/>
      <c r="CH20" s="46"/>
      <c r="CI20" s="46"/>
      <c r="CJ20" s="46"/>
      <c r="CK20" s="45"/>
      <c r="CL20" s="45"/>
      <c r="CM20" s="45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5"/>
      <c r="CY20" s="45"/>
      <c r="CZ20" s="45"/>
      <c r="DA20" s="45"/>
      <c r="DB20" s="45"/>
      <c r="DC20" s="68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5"/>
      <c r="DP20" s="45"/>
      <c r="DQ20" s="45"/>
      <c r="DR20" s="45"/>
      <c r="DS20" s="63"/>
    </row>
    <row r="21" spans="2:123" ht="15" customHeight="1" x14ac:dyDescent="0.25">
      <c r="B21" s="1" t="str">
        <f>Base!I16</f>
        <v>207 scénarios de l'application</v>
      </c>
      <c r="C21" s="68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179"/>
      <c r="AC21" s="179"/>
      <c r="AD21" s="179"/>
      <c r="AE21" s="179"/>
      <c r="AF21" s="45"/>
      <c r="AG21" s="68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68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63"/>
      <c r="CG21" s="46"/>
      <c r="CH21" s="46"/>
      <c r="CI21" s="46"/>
      <c r="CJ21" s="46"/>
      <c r="CK21" s="45"/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45"/>
      <c r="CY21" s="45"/>
      <c r="CZ21" s="45"/>
      <c r="DA21" s="45"/>
      <c r="DB21" s="45"/>
      <c r="DC21" s="68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5"/>
      <c r="DP21" s="45"/>
      <c r="DQ21" s="45"/>
      <c r="DR21" s="45"/>
      <c r="DS21" s="63"/>
    </row>
    <row r="22" spans="2:123" ht="15" customHeight="1" x14ac:dyDescent="0.25">
      <c r="B22" s="1" t="str">
        <f>Base!I17</f>
        <v>208 diagrammes de classe</v>
      </c>
      <c r="C22" s="68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5"/>
      <c r="P22" s="45"/>
      <c r="Q22" s="45"/>
      <c r="R22" s="45"/>
      <c r="S22" s="45"/>
      <c r="T22" s="45"/>
      <c r="U22" s="45"/>
      <c r="V22" s="45"/>
      <c r="W22" s="153"/>
      <c r="X22" s="179"/>
      <c r="Y22" s="45"/>
      <c r="Z22" s="45"/>
      <c r="AA22" s="45"/>
      <c r="AB22" s="45"/>
      <c r="AC22" s="45"/>
      <c r="AD22" s="45"/>
      <c r="AE22" s="45"/>
      <c r="AF22" s="45"/>
      <c r="AG22" s="68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68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63"/>
      <c r="CG22" s="46"/>
      <c r="CH22" s="46"/>
      <c r="CI22" s="46"/>
      <c r="CJ22" s="46"/>
      <c r="CK22" s="45"/>
      <c r="CL22" s="45"/>
      <c r="CM22" s="45"/>
      <c r="CN22" s="45"/>
      <c r="CO22" s="45"/>
      <c r="CP22" s="45"/>
      <c r="CQ22" s="45"/>
      <c r="CR22" s="45"/>
      <c r="CS22" s="45"/>
      <c r="CT22" s="45"/>
      <c r="CU22" s="45"/>
      <c r="CV22" s="45"/>
      <c r="CW22" s="45"/>
      <c r="CX22" s="45"/>
      <c r="CY22" s="45"/>
      <c r="CZ22" s="45"/>
      <c r="DA22" s="45"/>
      <c r="DB22" s="45"/>
      <c r="DC22" s="68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5"/>
      <c r="DP22" s="45"/>
      <c r="DQ22" s="45"/>
      <c r="DR22" s="45"/>
      <c r="DS22" s="63"/>
    </row>
    <row r="23" spans="2:123" ht="15" customHeight="1" x14ac:dyDescent="0.25">
      <c r="B23" s="1" t="str">
        <f>Base!I18</f>
        <v>209 schéma de navigation de l'application</v>
      </c>
      <c r="C23" s="68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179"/>
      <c r="AA23" s="45"/>
      <c r="AB23" s="45"/>
      <c r="AC23" s="45"/>
      <c r="AD23" s="45"/>
      <c r="AE23" s="45"/>
      <c r="AF23" s="45"/>
      <c r="AG23" s="68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68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63"/>
      <c r="CG23" s="46"/>
      <c r="CH23" s="46"/>
      <c r="CI23" s="46"/>
      <c r="CJ23" s="46"/>
      <c r="CK23" s="45"/>
      <c r="CL23" s="45"/>
      <c r="CM23" s="45"/>
      <c r="CN23" s="45"/>
      <c r="CO23" s="45"/>
      <c r="CP23" s="45"/>
      <c r="CQ23" s="45"/>
      <c r="CR23" s="45"/>
      <c r="CS23" s="45"/>
      <c r="CT23" s="45"/>
      <c r="CU23" s="45"/>
      <c r="CV23" s="45"/>
      <c r="CW23" s="45"/>
      <c r="CX23" s="45"/>
      <c r="CY23" s="45"/>
      <c r="CZ23" s="45"/>
      <c r="DA23" s="45"/>
      <c r="DB23" s="45"/>
      <c r="DC23" s="68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5"/>
      <c r="DP23" s="45"/>
      <c r="DQ23" s="45"/>
      <c r="DR23" s="45"/>
      <c r="DS23" s="63"/>
    </row>
    <row r="24" spans="2:123" ht="15" customHeight="1" x14ac:dyDescent="0.25">
      <c r="B24" s="1" t="str">
        <f>Base!I19</f>
        <v>210 fonctionnalités du projet</v>
      </c>
      <c r="C24" s="68"/>
      <c r="D24" s="46"/>
      <c r="E24" s="46"/>
      <c r="F24" s="46"/>
      <c r="G24" s="46"/>
      <c r="H24" s="46"/>
      <c r="I24" s="46"/>
      <c r="J24" s="163"/>
      <c r="K24" s="163"/>
      <c r="L24" s="46"/>
      <c r="M24" s="46"/>
      <c r="N24" s="46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68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68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E24" s="45"/>
      <c r="CF24" s="63"/>
      <c r="CG24" s="46"/>
      <c r="CH24" s="46"/>
      <c r="CI24" s="46"/>
      <c r="CJ24" s="46"/>
      <c r="CK24" s="45"/>
      <c r="CL24" s="45"/>
      <c r="CM24" s="45"/>
      <c r="CN24" s="45"/>
      <c r="CO24" s="45"/>
      <c r="CP24" s="45"/>
      <c r="CQ24" s="45"/>
      <c r="CR24" s="45"/>
      <c r="CS24" s="45"/>
      <c r="CT24" s="45"/>
      <c r="CU24" s="45"/>
      <c r="CV24" s="45"/>
      <c r="CW24" s="45"/>
      <c r="CX24" s="45"/>
      <c r="CY24" s="45"/>
      <c r="CZ24" s="45"/>
      <c r="DA24" s="45"/>
      <c r="DB24" s="45"/>
      <c r="DC24" s="68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5"/>
      <c r="DP24" s="45"/>
      <c r="DQ24" s="45"/>
      <c r="DR24" s="45"/>
      <c r="DS24" s="63"/>
    </row>
    <row r="25" spans="2:123" ht="15" customHeight="1" x14ac:dyDescent="0.25">
      <c r="B25" s="1" t="str">
        <f>Base!I20</f>
        <v>211 déclaration du cadre du projet</v>
      </c>
      <c r="C25" s="68"/>
      <c r="D25" s="46"/>
      <c r="E25" s="46"/>
      <c r="F25" s="46"/>
      <c r="G25" s="46"/>
      <c r="H25" s="46"/>
      <c r="I25" s="46"/>
      <c r="J25" s="46"/>
      <c r="K25" s="46"/>
      <c r="L25" s="163"/>
      <c r="M25" s="46"/>
      <c r="N25" s="46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68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68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45"/>
      <c r="BZ25" s="45"/>
      <c r="CA25" s="45"/>
      <c r="CB25" s="45"/>
      <c r="CC25" s="45"/>
      <c r="CD25" s="45"/>
      <c r="CE25" s="45"/>
      <c r="CF25" s="63"/>
      <c r="CG25" s="46"/>
      <c r="CH25" s="46"/>
      <c r="CI25" s="46"/>
      <c r="CJ25" s="46"/>
      <c r="CK25" s="45"/>
      <c r="CL25" s="45"/>
      <c r="CM25" s="45"/>
      <c r="CN25" s="45"/>
      <c r="CO25" s="45"/>
      <c r="CP25" s="45"/>
      <c r="CQ25" s="45"/>
      <c r="CR25" s="45"/>
      <c r="CS25" s="45"/>
      <c r="CT25" s="45"/>
      <c r="CU25" s="45"/>
      <c r="CV25" s="45"/>
      <c r="CW25" s="45"/>
      <c r="CX25" s="45"/>
      <c r="CY25" s="45"/>
      <c r="CZ25" s="45"/>
      <c r="DA25" s="45"/>
      <c r="DB25" s="45"/>
      <c r="DC25" s="68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5"/>
      <c r="DP25" s="45"/>
      <c r="DQ25" s="45"/>
      <c r="DR25" s="45"/>
      <c r="DS25" s="63"/>
    </row>
    <row r="26" spans="2:123" ht="30" x14ac:dyDescent="0.25">
      <c r="B26" s="1" t="str">
        <f>Base!I21</f>
        <v>212 rédaction des risques techniques détectés</v>
      </c>
      <c r="C26" s="65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39"/>
      <c r="P26" s="39"/>
      <c r="Q26" s="178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65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65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61"/>
      <c r="CG26" s="40"/>
      <c r="CH26" s="40"/>
      <c r="CI26" s="40"/>
      <c r="CJ26" s="40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65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39"/>
      <c r="DP26" s="39"/>
      <c r="DQ26" s="39"/>
      <c r="DR26" s="39"/>
      <c r="DS26" s="61"/>
    </row>
    <row r="27" spans="2:123" x14ac:dyDescent="0.25">
      <c r="B27" s="1" t="str">
        <f>Base!I22</f>
        <v>213 planification définitive</v>
      </c>
      <c r="C27" s="65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178"/>
      <c r="AG27" s="65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65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61"/>
      <c r="CG27" s="40"/>
      <c r="CH27" s="40"/>
      <c r="CI27" s="40"/>
      <c r="CJ27" s="40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65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39"/>
      <c r="DP27" s="39"/>
      <c r="DQ27" s="39"/>
      <c r="DR27" s="39"/>
      <c r="DS27" s="61"/>
    </row>
    <row r="28" spans="2:123" ht="30" x14ac:dyDescent="0.25">
      <c r="B28" s="1" t="str">
        <f>Base!I23</f>
        <v>214 recherche sur l'impression depuis l'application</v>
      </c>
      <c r="C28" s="65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65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65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61"/>
      <c r="CG28" s="40"/>
      <c r="CH28" s="40"/>
      <c r="CI28" s="40"/>
      <c r="CJ28" s="40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65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39"/>
      <c r="DP28" s="39"/>
      <c r="DQ28" s="39"/>
      <c r="DR28" s="39"/>
      <c r="DS28" s="61"/>
    </row>
    <row r="29" spans="2:123" x14ac:dyDescent="0.25">
      <c r="B29" s="1" t="str">
        <f>Base!I24</f>
        <v>215 -</v>
      </c>
      <c r="C29" s="65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65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65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61"/>
      <c r="CG29" s="40"/>
      <c r="CH29" s="40"/>
      <c r="CI29" s="40"/>
      <c r="CJ29" s="40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65"/>
      <c r="DD29" s="40"/>
      <c r="DE29" s="40"/>
      <c r="DF29" s="40"/>
      <c r="DG29" s="40"/>
      <c r="DH29" s="40"/>
      <c r="DI29" s="40"/>
      <c r="DJ29" s="40"/>
      <c r="DK29" s="40"/>
      <c r="DL29" s="40"/>
      <c r="DM29" s="40"/>
      <c r="DN29" s="40"/>
      <c r="DO29" s="39"/>
      <c r="DP29" s="39"/>
      <c r="DQ29" s="39"/>
      <c r="DR29" s="39"/>
      <c r="DS29" s="61"/>
    </row>
    <row r="30" spans="2:123" ht="15.75" thickBot="1" x14ac:dyDescent="0.3">
      <c r="B30" s="1" t="str">
        <f>Base!I25</f>
        <v>216 -</v>
      </c>
      <c r="C30" s="67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67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66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64"/>
      <c r="CG30" s="42"/>
      <c r="CH30" s="42"/>
      <c r="CI30" s="42"/>
      <c r="CJ30" s="42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67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1"/>
      <c r="DP30" s="41"/>
      <c r="DQ30" s="41"/>
      <c r="DR30" s="41"/>
      <c r="DS30" s="62"/>
    </row>
    <row r="31" spans="2:123" ht="15" customHeight="1" x14ac:dyDescent="0.25">
      <c r="B31" s="213" t="str">
        <f>Base!H26</f>
        <v>Implémentation</v>
      </c>
      <c r="C31" s="28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47"/>
      <c r="BN31" s="47"/>
      <c r="BO31" s="47"/>
      <c r="BP31" s="47"/>
      <c r="BQ31" s="47"/>
      <c r="BR31" s="47"/>
      <c r="BS31" s="47"/>
      <c r="BT31" s="47"/>
      <c r="BU31" s="47"/>
      <c r="BV31" s="47"/>
      <c r="BW31" s="47"/>
      <c r="BX31" s="47"/>
      <c r="BY31" s="47"/>
      <c r="BZ31" s="47"/>
      <c r="CA31" s="47"/>
      <c r="CB31" s="47"/>
      <c r="CC31" s="47"/>
      <c r="CD31" s="47"/>
      <c r="CE31" s="47"/>
      <c r="CF31" s="47"/>
      <c r="CG31" s="47"/>
      <c r="CH31" s="47"/>
      <c r="CI31" s="47"/>
      <c r="CJ31" s="47"/>
      <c r="CK31" s="47"/>
      <c r="CL31" s="47"/>
      <c r="CM31" s="47"/>
      <c r="CN31" s="47"/>
      <c r="CO31" s="47"/>
      <c r="CP31" s="47"/>
      <c r="CQ31" s="47"/>
      <c r="CR31" s="47"/>
      <c r="CS31" s="47"/>
      <c r="CT31" s="47"/>
      <c r="CU31" s="47"/>
      <c r="CV31" s="47"/>
      <c r="CW31" s="47"/>
      <c r="CX31" s="47"/>
      <c r="CY31" s="47"/>
      <c r="CZ31" s="47"/>
      <c r="DA31" s="47"/>
      <c r="DB31" s="47"/>
      <c r="DC31" s="47"/>
      <c r="DD31" s="47"/>
      <c r="DE31" s="47"/>
      <c r="DF31" s="47"/>
      <c r="DG31" s="47"/>
      <c r="DH31" s="47"/>
      <c r="DI31" s="47"/>
      <c r="DJ31" s="47"/>
      <c r="DK31" s="47"/>
      <c r="DL31" s="47"/>
      <c r="DM31" s="47"/>
      <c r="DN31" s="47"/>
      <c r="DO31" s="47"/>
      <c r="DP31" s="47"/>
      <c r="DQ31" s="47"/>
      <c r="DR31" s="47"/>
      <c r="DS31" s="48"/>
    </row>
    <row r="32" spans="2:123" ht="15.75" customHeight="1" thickBot="1" x14ac:dyDescent="0.3">
      <c r="B32" s="214"/>
      <c r="C32" s="2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49"/>
      <c r="AZ32" s="49"/>
      <c r="BA32" s="49"/>
      <c r="BB32" s="49"/>
      <c r="BC32" s="49"/>
      <c r="BD32" s="49"/>
      <c r="BE32" s="49"/>
      <c r="BF32" s="49"/>
      <c r="BG32" s="49"/>
      <c r="BH32" s="49"/>
      <c r="BI32" s="49"/>
      <c r="BJ32" s="49"/>
      <c r="BK32" s="49"/>
      <c r="BL32" s="49"/>
      <c r="BM32" s="49"/>
      <c r="BN32" s="49"/>
      <c r="BO32" s="49"/>
      <c r="BP32" s="49"/>
      <c r="BQ32" s="49"/>
      <c r="BR32" s="49"/>
      <c r="BS32" s="49"/>
      <c r="BT32" s="49"/>
      <c r="BU32" s="49"/>
      <c r="BV32" s="49"/>
      <c r="BW32" s="49"/>
      <c r="BX32" s="49"/>
      <c r="BY32" s="49"/>
      <c r="BZ32" s="49"/>
      <c r="CA32" s="49"/>
      <c r="CB32" s="49"/>
      <c r="CC32" s="49"/>
      <c r="CD32" s="49"/>
      <c r="CE32" s="49"/>
      <c r="CF32" s="49"/>
      <c r="CG32" s="49"/>
      <c r="CH32" s="49"/>
      <c r="CI32" s="49"/>
      <c r="CJ32" s="49"/>
      <c r="CK32" s="49"/>
      <c r="CL32" s="49"/>
      <c r="CM32" s="49"/>
      <c r="CN32" s="49"/>
      <c r="CO32" s="49"/>
      <c r="CP32" s="49"/>
      <c r="CQ32" s="49"/>
      <c r="CR32" s="49"/>
      <c r="CS32" s="49"/>
      <c r="CT32" s="49"/>
      <c r="CU32" s="49"/>
      <c r="CV32" s="49"/>
      <c r="CW32" s="49"/>
      <c r="CX32" s="49"/>
      <c r="CY32" s="49"/>
      <c r="CZ32" s="49"/>
      <c r="DA32" s="49"/>
      <c r="DB32" s="49"/>
      <c r="DC32" s="49"/>
      <c r="DD32" s="49"/>
      <c r="DE32" s="49"/>
      <c r="DF32" s="49"/>
      <c r="DG32" s="49"/>
      <c r="DH32" s="49"/>
      <c r="DI32" s="49"/>
      <c r="DJ32" s="49"/>
      <c r="DK32" s="49"/>
      <c r="DL32" s="49"/>
      <c r="DM32" s="49"/>
      <c r="DN32" s="49"/>
      <c r="DO32" s="49"/>
      <c r="DP32" s="49"/>
      <c r="DQ32" s="49"/>
      <c r="DR32" s="49"/>
      <c r="DS32" s="50"/>
    </row>
    <row r="33" spans="2:123" ht="15" customHeight="1" x14ac:dyDescent="0.25">
      <c r="B33" s="1" t="str">
        <f>Base!I26</f>
        <v>300 mise en place de la BDD</v>
      </c>
      <c r="C33" s="68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183"/>
      <c r="AH33" s="184"/>
      <c r="AI33" s="184"/>
      <c r="AJ33" s="115"/>
      <c r="AK33" s="115"/>
      <c r="AL33" s="115"/>
      <c r="AM33" s="115"/>
      <c r="AN33" s="115"/>
      <c r="AO33" s="115"/>
      <c r="AP33" s="115"/>
      <c r="AQ33" s="115"/>
      <c r="AR33" s="115"/>
      <c r="AS33" s="116"/>
      <c r="AT33" s="116"/>
      <c r="AU33" s="116"/>
      <c r="AV33" s="116"/>
      <c r="AW33" s="116"/>
      <c r="AX33" s="116"/>
      <c r="AY33" s="116"/>
      <c r="AZ33" s="116"/>
      <c r="BA33" s="116"/>
      <c r="BB33" s="193"/>
      <c r="BC33" s="114"/>
      <c r="BD33" s="115"/>
      <c r="BE33" s="115"/>
      <c r="BF33" s="115"/>
      <c r="BG33" s="115"/>
      <c r="BH33" s="115"/>
      <c r="BI33" s="115"/>
      <c r="BJ33" s="115"/>
      <c r="BK33" s="115"/>
      <c r="BL33" s="115"/>
      <c r="BM33" s="115"/>
      <c r="BN33" s="115"/>
      <c r="BO33" s="116"/>
      <c r="BP33" s="116"/>
      <c r="BQ33" s="116"/>
      <c r="BR33" s="116"/>
      <c r="BS33" s="116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92"/>
      <c r="CG33" s="46"/>
      <c r="CH33" s="46"/>
      <c r="CI33" s="46"/>
      <c r="CJ33" s="46"/>
      <c r="CK33" s="45"/>
      <c r="CL33" s="45"/>
      <c r="CM33" s="45"/>
      <c r="CN33" s="45"/>
      <c r="CO33" s="45"/>
      <c r="CP33" s="45"/>
      <c r="CQ33" s="45"/>
      <c r="CR33" s="45"/>
      <c r="CS33" s="45"/>
      <c r="CT33" s="45"/>
      <c r="CU33" s="45"/>
      <c r="CV33" s="45"/>
      <c r="CW33" s="45"/>
      <c r="CX33" s="45"/>
      <c r="CY33" s="45"/>
      <c r="CZ33" s="45"/>
      <c r="DA33" s="45"/>
      <c r="DB33" s="45"/>
      <c r="DC33" s="68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5"/>
      <c r="DP33" s="45"/>
      <c r="DQ33" s="45"/>
      <c r="DR33" s="45"/>
      <c r="DS33" s="63"/>
    </row>
    <row r="34" spans="2:123" ht="30" x14ac:dyDescent="0.25">
      <c r="B34" s="1" t="str">
        <f>Base!I27</f>
        <v>301 réaliser la partie graphique de l'application</v>
      </c>
      <c r="C34" s="68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68"/>
      <c r="AH34" s="46"/>
      <c r="AI34" s="46"/>
      <c r="AJ34" s="181"/>
      <c r="AK34" s="181"/>
      <c r="AL34" s="181"/>
      <c r="AM34" s="181"/>
      <c r="AN34" s="46"/>
      <c r="AO34" s="46"/>
      <c r="AP34" s="46"/>
      <c r="AQ34" s="46"/>
      <c r="AR34" s="46"/>
      <c r="AS34" s="45"/>
      <c r="AT34" s="45"/>
      <c r="AU34" s="45"/>
      <c r="AV34" s="45"/>
      <c r="AW34" s="45"/>
      <c r="AX34" s="45"/>
      <c r="AY34" s="45"/>
      <c r="AZ34" s="45"/>
      <c r="BA34" s="45"/>
      <c r="BB34" s="194"/>
      <c r="BC34" s="68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5"/>
      <c r="BP34" s="45"/>
      <c r="BQ34" s="45"/>
      <c r="BR34" s="45"/>
      <c r="BS34" s="45"/>
      <c r="BT34" s="45"/>
      <c r="BU34" s="45"/>
      <c r="BV34" s="45"/>
      <c r="BW34" s="45"/>
      <c r="BX34" s="45"/>
      <c r="BY34" s="45"/>
      <c r="BZ34" s="45"/>
      <c r="CA34" s="45"/>
      <c r="CB34" s="45"/>
      <c r="CC34" s="45"/>
      <c r="CD34" s="45"/>
      <c r="CE34" s="45"/>
      <c r="CF34" s="63"/>
      <c r="CG34" s="46"/>
      <c r="CH34" s="46"/>
      <c r="CI34" s="46"/>
      <c r="CJ34" s="46"/>
      <c r="CK34" s="45"/>
      <c r="CL34" s="45"/>
      <c r="CM34" s="45"/>
      <c r="CN34" s="45"/>
      <c r="CO34" s="45"/>
      <c r="CP34" s="45"/>
      <c r="CQ34" s="45"/>
      <c r="CR34" s="45"/>
      <c r="CS34" s="45"/>
      <c r="CT34" s="45"/>
      <c r="CU34" s="45"/>
      <c r="CV34" s="45"/>
      <c r="CW34" s="45"/>
      <c r="CX34" s="45"/>
      <c r="CY34" s="45"/>
      <c r="CZ34" s="45"/>
      <c r="DA34" s="45"/>
      <c r="DB34" s="45"/>
      <c r="DC34" s="68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5"/>
      <c r="DP34" s="45"/>
      <c r="DQ34" s="45"/>
      <c r="DR34" s="45"/>
      <c r="DS34" s="63"/>
    </row>
    <row r="35" spans="2:123" ht="15" customHeight="1" x14ac:dyDescent="0.25">
      <c r="B35" s="1" t="str">
        <f>Base!I28</f>
        <v>302 mettre en place la connexion à la BDD</v>
      </c>
      <c r="C35" s="68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68"/>
      <c r="AH35" s="46"/>
      <c r="AI35" s="46"/>
      <c r="AJ35" s="46"/>
      <c r="AK35" s="46"/>
      <c r="AL35" s="46"/>
      <c r="AM35" s="46"/>
      <c r="AN35" s="181"/>
      <c r="AO35" s="181"/>
      <c r="AP35" s="181"/>
      <c r="AQ35" s="46"/>
      <c r="AR35" s="46"/>
      <c r="AS35" s="46"/>
      <c r="AT35" s="46"/>
      <c r="AU35" s="45"/>
      <c r="AV35" s="45"/>
      <c r="AW35" s="45"/>
      <c r="AX35" s="45"/>
      <c r="AY35" s="45"/>
      <c r="AZ35" s="45"/>
      <c r="BA35" s="45"/>
      <c r="BB35" s="194"/>
      <c r="BC35" s="68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5"/>
      <c r="BP35" s="45"/>
      <c r="BQ35" s="45"/>
      <c r="BR35" s="45"/>
      <c r="BS35" s="45"/>
      <c r="BT35" s="45"/>
      <c r="BU35" s="45"/>
      <c r="BV35" s="45"/>
      <c r="BW35" s="45"/>
      <c r="BX35" s="45"/>
      <c r="BY35" s="45"/>
      <c r="BZ35" s="45"/>
      <c r="CA35" s="45"/>
      <c r="CB35" s="45"/>
      <c r="CC35" s="45"/>
      <c r="CD35" s="45"/>
      <c r="CE35" s="45"/>
      <c r="CF35" s="63"/>
      <c r="CG35" s="46"/>
      <c r="CH35" s="46"/>
      <c r="CI35" s="46"/>
      <c r="CJ35" s="46"/>
      <c r="CK35" s="45"/>
      <c r="CL35" s="45"/>
      <c r="CM35" s="45"/>
      <c r="CN35" s="45"/>
      <c r="CO35" s="45"/>
      <c r="CP35" s="45"/>
      <c r="CQ35" s="45"/>
      <c r="CR35" s="45"/>
      <c r="CS35" s="45"/>
      <c r="CT35" s="45"/>
      <c r="CU35" s="45"/>
      <c r="CV35" s="45"/>
      <c r="CW35" s="45"/>
      <c r="CX35" s="45"/>
      <c r="CY35" s="45"/>
      <c r="CZ35" s="45"/>
      <c r="DA35" s="45"/>
      <c r="DB35" s="45"/>
      <c r="DC35" s="68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5"/>
      <c r="DP35" s="45"/>
      <c r="DQ35" s="45"/>
      <c r="DR35" s="45"/>
      <c r="DS35" s="63"/>
    </row>
    <row r="36" spans="2:123" ht="30" x14ac:dyDescent="0.25">
      <c r="B36" s="1" t="str">
        <f>Base!I29</f>
        <v>303 mettre en place la classe "bouteille"</v>
      </c>
      <c r="C36" s="68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68"/>
      <c r="AH36" s="46"/>
      <c r="AI36" s="46"/>
      <c r="AJ36" s="46"/>
      <c r="AK36" s="46"/>
      <c r="AL36" s="46"/>
      <c r="AM36" s="46"/>
      <c r="AN36" s="46"/>
      <c r="AO36" s="46"/>
      <c r="AP36" s="46"/>
      <c r="AQ36" s="181"/>
      <c r="AR36" s="181"/>
      <c r="AS36" s="181"/>
      <c r="AT36" s="46"/>
      <c r="AU36" s="45"/>
      <c r="AV36" s="45"/>
      <c r="AW36" s="45"/>
      <c r="AX36" s="45"/>
      <c r="AY36" s="45"/>
      <c r="AZ36" s="45"/>
      <c r="BA36" s="45"/>
      <c r="BB36" s="194"/>
      <c r="BC36" s="68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5"/>
      <c r="BP36" s="45"/>
      <c r="BQ36" s="45"/>
      <c r="BR36" s="45"/>
      <c r="BS36" s="45"/>
      <c r="BT36" s="45"/>
      <c r="BU36" s="45"/>
      <c r="BV36" s="45"/>
      <c r="BW36" s="45"/>
      <c r="BX36" s="45"/>
      <c r="BY36" s="45"/>
      <c r="BZ36" s="45"/>
      <c r="CA36" s="45"/>
      <c r="CB36" s="45"/>
      <c r="CC36" s="45"/>
      <c r="CD36" s="45"/>
      <c r="CE36" s="45"/>
      <c r="CF36" s="63"/>
      <c r="CG36" s="46"/>
      <c r="CH36" s="46"/>
      <c r="CI36" s="46"/>
      <c r="CJ36" s="46"/>
      <c r="CK36" s="45"/>
      <c r="CL36" s="45"/>
      <c r="CM36" s="45"/>
      <c r="CN36" s="45"/>
      <c r="CO36" s="45"/>
      <c r="CP36" s="45"/>
      <c r="CQ36" s="45"/>
      <c r="CR36" s="45"/>
      <c r="CS36" s="45"/>
      <c r="CT36" s="45"/>
      <c r="CU36" s="45"/>
      <c r="CV36" s="45"/>
      <c r="CW36" s="45"/>
      <c r="CX36" s="45"/>
      <c r="CY36" s="45"/>
      <c r="CZ36" s="45"/>
      <c r="DA36" s="45"/>
      <c r="DB36" s="45"/>
      <c r="DC36" s="68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5"/>
      <c r="DP36" s="45"/>
      <c r="DQ36" s="45"/>
      <c r="DR36" s="45"/>
      <c r="DS36" s="63"/>
    </row>
    <row r="37" spans="2:123" ht="30" x14ac:dyDescent="0.25">
      <c r="B37" s="1" t="str">
        <f>Base!I30</f>
        <v>304 mettre en place la classe "casier"</v>
      </c>
      <c r="C37" s="68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68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181"/>
      <c r="AU37" s="182"/>
      <c r="AV37" s="182"/>
      <c r="AW37" s="45"/>
      <c r="AX37" s="45"/>
      <c r="AY37" s="45"/>
      <c r="AZ37" s="45"/>
      <c r="BA37" s="45"/>
      <c r="BB37" s="194"/>
      <c r="BC37" s="68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5"/>
      <c r="BP37" s="45"/>
      <c r="BQ37" s="45"/>
      <c r="BR37" s="45"/>
      <c r="BS37" s="45"/>
      <c r="BT37" s="45"/>
      <c r="BU37" s="45"/>
      <c r="BV37" s="45"/>
      <c r="BW37" s="45"/>
      <c r="BX37" s="45"/>
      <c r="BY37" s="45"/>
      <c r="BZ37" s="45"/>
      <c r="CA37" s="45"/>
      <c r="CB37" s="45"/>
      <c r="CC37" s="45"/>
      <c r="CD37" s="45"/>
      <c r="CE37" s="45"/>
      <c r="CF37" s="63"/>
      <c r="CG37" s="46"/>
      <c r="CH37" s="46"/>
      <c r="CI37" s="46"/>
      <c r="CJ37" s="46"/>
      <c r="CK37" s="45"/>
      <c r="CL37" s="45"/>
      <c r="CM37" s="45"/>
      <c r="CN37" s="45"/>
      <c r="CO37" s="45"/>
      <c r="CP37" s="45"/>
      <c r="CQ37" s="45"/>
      <c r="CR37" s="45"/>
      <c r="CS37" s="45"/>
      <c r="CT37" s="45"/>
      <c r="CU37" s="45"/>
      <c r="CV37" s="45"/>
      <c r="CW37" s="45"/>
      <c r="CX37" s="45"/>
      <c r="CY37" s="45"/>
      <c r="CZ37" s="45"/>
      <c r="DA37" s="45"/>
      <c r="DB37" s="45"/>
      <c r="DC37" s="68"/>
      <c r="DD37" s="46"/>
      <c r="DE37" s="46"/>
      <c r="DF37" s="46"/>
      <c r="DG37" s="46"/>
      <c r="DH37" s="46"/>
      <c r="DI37" s="46"/>
      <c r="DJ37" s="46"/>
      <c r="DK37" s="46"/>
      <c r="DL37" s="46"/>
      <c r="DM37" s="46"/>
      <c r="DN37" s="46"/>
      <c r="DO37" s="45"/>
      <c r="DP37" s="45"/>
      <c r="DQ37" s="45"/>
      <c r="DR37" s="45"/>
      <c r="DS37" s="63"/>
    </row>
    <row r="38" spans="2:123" ht="30" x14ac:dyDescent="0.25">
      <c r="B38" s="1" t="str">
        <f>Base!I31</f>
        <v>305 implémenter l'ajout de bouteilles</v>
      </c>
      <c r="C38" s="68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68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5"/>
      <c r="AV38" s="45"/>
      <c r="AW38" s="45"/>
      <c r="AX38" s="45"/>
      <c r="AY38" s="45"/>
      <c r="AZ38" s="45"/>
      <c r="BA38" s="45"/>
      <c r="BB38" s="194"/>
      <c r="BC38" s="180"/>
      <c r="BD38" s="181"/>
      <c r="BE38" s="181"/>
      <c r="BF38" s="46"/>
      <c r="BG38" s="46"/>
      <c r="BH38" s="46"/>
      <c r="BI38" s="46"/>
      <c r="BJ38" s="46"/>
      <c r="BK38" s="46"/>
      <c r="BL38" s="46"/>
      <c r="BM38" s="46"/>
      <c r="BN38" s="46"/>
      <c r="BO38" s="45"/>
      <c r="BP38" s="45"/>
      <c r="BQ38" s="45"/>
      <c r="BR38" s="45"/>
      <c r="BS38" s="45"/>
      <c r="BT38" s="45"/>
      <c r="BU38" s="45"/>
      <c r="BV38" s="45"/>
      <c r="BW38" s="45"/>
      <c r="BX38" s="45"/>
      <c r="BY38" s="45"/>
      <c r="BZ38" s="45"/>
      <c r="CA38" s="45"/>
      <c r="CB38" s="45"/>
      <c r="CC38" s="45"/>
      <c r="CD38" s="45"/>
      <c r="CE38" s="45"/>
      <c r="CF38" s="63"/>
      <c r="CG38" s="46"/>
      <c r="CH38" s="46"/>
      <c r="CI38" s="46"/>
      <c r="CJ38" s="46"/>
      <c r="CK38" s="45"/>
      <c r="CL38" s="45"/>
      <c r="CM38" s="45"/>
      <c r="CN38" s="45"/>
      <c r="CO38" s="45"/>
      <c r="CP38" s="45"/>
      <c r="CQ38" s="45"/>
      <c r="CR38" s="45"/>
      <c r="CS38" s="45"/>
      <c r="CT38" s="45"/>
      <c r="CU38" s="45"/>
      <c r="CV38" s="45"/>
      <c r="CW38" s="45"/>
      <c r="CX38" s="45"/>
      <c r="CY38" s="45"/>
      <c r="CZ38" s="45"/>
      <c r="DA38" s="45"/>
      <c r="DB38" s="45"/>
      <c r="DC38" s="68"/>
      <c r="DD38" s="46"/>
      <c r="DE38" s="46"/>
      <c r="DF38" s="46"/>
      <c r="DG38" s="46"/>
      <c r="DH38" s="46"/>
      <c r="DI38" s="46"/>
      <c r="DJ38" s="46"/>
      <c r="DK38" s="46"/>
      <c r="DL38" s="46"/>
      <c r="DM38" s="46"/>
      <c r="DN38" s="46"/>
      <c r="DO38" s="45"/>
      <c r="DP38" s="45"/>
      <c r="DQ38" s="45"/>
      <c r="DR38" s="45"/>
      <c r="DS38" s="63"/>
    </row>
    <row r="39" spans="2:123" ht="30" x14ac:dyDescent="0.25">
      <c r="B39" s="1" t="str">
        <f>Base!I32</f>
        <v>306 implémenter le retrait de bouteilles</v>
      </c>
      <c r="C39" s="68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68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5"/>
      <c r="AT39" s="45"/>
      <c r="AU39" s="45"/>
      <c r="AV39" s="45"/>
      <c r="AW39" s="45"/>
      <c r="AX39" s="45"/>
      <c r="AY39" s="45"/>
      <c r="AZ39" s="45"/>
      <c r="BA39" s="45"/>
      <c r="BB39" s="194"/>
      <c r="BC39" s="68"/>
      <c r="BD39" s="46"/>
      <c r="BE39" s="45"/>
      <c r="BF39" s="181"/>
      <c r="BG39" s="46"/>
      <c r="BH39" s="45"/>
      <c r="BI39" s="45"/>
      <c r="BJ39" s="45"/>
      <c r="BK39" s="45"/>
      <c r="BL39" s="45"/>
      <c r="BM39" s="45"/>
      <c r="BN39" s="45"/>
      <c r="BO39" s="45"/>
      <c r="BP39" s="45"/>
      <c r="BQ39" s="45"/>
      <c r="BR39" s="45"/>
      <c r="BS39" s="45"/>
      <c r="BT39" s="45"/>
      <c r="BU39" s="45"/>
      <c r="BV39" s="45"/>
      <c r="BW39" s="45"/>
      <c r="BX39" s="45"/>
      <c r="BY39" s="45"/>
      <c r="BZ39" s="45"/>
      <c r="CA39" s="45"/>
      <c r="CB39" s="45"/>
      <c r="CC39" s="45"/>
      <c r="CD39" s="45"/>
      <c r="CE39" s="45"/>
      <c r="CF39" s="63"/>
      <c r="CG39" s="46"/>
      <c r="CH39" s="46"/>
      <c r="CI39" s="46"/>
      <c r="CJ39" s="46"/>
      <c r="CK39" s="45"/>
      <c r="CL39" s="45"/>
      <c r="CM39" s="45"/>
      <c r="CN39" s="45"/>
      <c r="CO39" s="45"/>
      <c r="CP39" s="45"/>
      <c r="CQ39" s="45"/>
      <c r="CR39" s="45"/>
      <c r="CS39" s="45"/>
      <c r="CT39" s="45"/>
      <c r="CU39" s="45"/>
      <c r="CV39" s="45"/>
      <c r="CW39" s="45"/>
      <c r="CX39" s="45"/>
      <c r="CY39" s="45"/>
      <c r="CZ39" s="45"/>
      <c r="DA39" s="45"/>
      <c r="DB39" s="45"/>
      <c r="DC39" s="68"/>
      <c r="DD39" s="46"/>
      <c r="DE39" s="46"/>
      <c r="DF39" s="46"/>
      <c r="DG39" s="46"/>
      <c r="DH39" s="46"/>
      <c r="DI39" s="46"/>
      <c r="DJ39" s="46"/>
      <c r="DK39" s="46"/>
      <c r="DL39" s="46"/>
      <c r="DM39" s="46"/>
      <c r="DN39" s="46"/>
      <c r="DO39" s="45"/>
      <c r="DP39" s="45"/>
      <c r="DQ39" s="45"/>
      <c r="DR39" s="45"/>
      <c r="DS39" s="63"/>
    </row>
    <row r="40" spans="2:123" ht="30" x14ac:dyDescent="0.25">
      <c r="B40" s="1" t="str">
        <f>Base!I33</f>
        <v>307 implémenter l'historisation des actions effectuées</v>
      </c>
      <c r="C40" s="68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68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5"/>
      <c r="AT40" s="45"/>
      <c r="AU40" s="45"/>
      <c r="AV40" s="45"/>
      <c r="AW40" s="45"/>
      <c r="AX40" s="45"/>
      <c r="AY40" s="45"/>
      <c r="AZ40" s="45"/>
      <c r="BA40" s="45"/>
      <c r="BB40" s="194"/>
      <c r="BC40" s="68"/>
      <c r="BD40" s="46"/>
      <c r="BE40" s="45"/>
      <c r="BF40" s="46"/>
      <c r="BG40" s="46"/>
      <c r="BH40" s="45"/>
      <c r="BI40" s="45"/>
      <c r="BJ40" s="45"/>
      <c r="BK40" s="45"/>
      <c r="BL40" s="45"/>
      <c r="BM40" s="45"/>
      <c r="BN40" s="45"/>
      <c r="BO40" s="45"/>
      <c r="BP40" s="45"/>
      <c r="BQ40" s="45"/>
      <c r="BR40" s="46"/>
      <c r="BS40" s="46"/>
      <c r="BT40" s="46"/>
      <c r="BU40" s="181"/>
      <c r="BV40" s="181"/>
      <c r="BW40" s="181"/>
      <c r="BX40" s="181"/>
      <c r="BY40" s="46"/>
      <c r="BZ40" s="46"/>
      <c r="CA40" s="45"/>
      <c r="CB40" s="45"/>
      <c r="CC40" s="45"/>
      <c r="CD40" s="45"/>
      <c r="CE40" s="45"/>
      <c r="CF40" s="63"/>
      <c r="CG40" s="46"/>
      <c r="CH40" s="46"/>
      <c r="CI40" s="46"/>
      <c r="CJ40" s="46"/>
      <c r="CK40" s="45"/>
      <c r="CL40" s="45"/>
      <c r="CM40" s="45"/>
      <c r="CN40" s="45"/>
      <c r="CO40" s="45"/>
      <c r="CP40" s="45"/>
      <c r="CQ40" s="45"/>
      <c r="CR40" s="45"/>
      <c r="CS40" s="45"/>
      <c r="CT40" s="45"/>
      <c r="CU40" s="45"/>
      <c r="CV40" s="45"/>
      <c r="CW40" s="45"/>
      <c r="CX40" s="45"/>
      <c r="CY40" s="45"/>
      <c r="CZ40" s="45"/>
      <c r="DA40" s="45"/>
      <c r="DB40" s="45"/>
      <c r="DC40" s="68"/>
      <c r="DD40" s="46"/>
      <c r="DE40" s="46"/>
      <c r="DF40" s="46"/>
      <c r="DG40" s="46"/>
      <c r="DH40" s="46"/>
      <c r="DI40" s="46"/>
      <c r="DJ40" s="46"/>
      <c r="DK40" s="46"/>
      <c r="DL40" s="46"/>
      <c r="DM40" s="46"/>
      <c r="DN40" s="46"/>
      <c r="DO40" s="45"/>
      <c r="DP40" s="45"/>
      <c r="DQ40" s="45"/>
      <c r="DR40" s="45"/>
      <c r="DS40" s="63"/>
    </row>
    <row r="41" spans="2:123" ht="30" x14ac:dyDescent="0.25">
      <c r="B41" s="1" t="str">
        <f>Base!I34</f>
        <v>308 implémenter la recherche par mot-clé</v>
      </c>
      <c r="C41" s="68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68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5"/>
      <c r="AT41" s="45"/>
      <c r="AU41" s="45"/>
      <c r="AV41" s="45"/>
      <c r="AW41" s="45"/>
      <c r="AX41" s="45"/>
      <c r="AY41" s="45"/>
      <c r="AZ41" s="45"/>
      <c r="BA41" s="45"/>
      <c r="BB41" s="194"/>
      <c r="BC41" s="68"/>
      <c r="BD41" s="46"/>
      <c r="BE41" s="45"/>
      <c r="BF41" s="46"/>
      <c r="BG41" s="46"/>
      <c r="BH41" s="45"/>
      <c r="BI41" s="45"/>
      <c r="BJ41" s="182"/>
      <c r="BK41" s="182"/>
      <c r="BL41" s="182"/>
      <c r="BM41" s="45"/>
      <c r="BN41" s="45"/>
      <c r="BO41" s="45"/>
      <c r="BP41" s="45"/>
      <c r="BQ41" s="45"/>
      <c r="BR41" s="46"/>
      <c r="BS41" s="46"/>
      <c r="BT41" s="46"/>
      <c r="BU41" s="46"/>
      <c r="BV41" s="46"/>
      <c r="BW41" s="46"/>
      <c r="BX41" s="46"/>
      <c r="BY41" s="46"/>
      <c r="BZ41" s="46"/>
      <c r="CA41" s="45"/>
      <c r="CB41" s="45"/>
      <c r="CC41" s="45"/>
      <c r="CD41" s="45"/>
      <c r="CE41" s="45"/>
      <c r="CF41" s="63"/>
      <c r="CG41" s="46"/>
      <c r="CH41" s="46"/>
      <c r="CI41" s="46"/>
      <c r="CJ41" s="46"/>
      <c r="CK41" s="45"/>
      <c r="CL41" s="45"/>
      <c r="CM41" s="45"/>
      <c r="CN41" s="45"/>
      <c r="CO41" s="45"/>
      <c r="CP41" s="45"/>
      <c r="CQ41" s="45"/>
      <c r="CR41" s="45"/>
      <c r="CS41" s="45"/>
      <c r="CT41" s="45"/>
      <c r="CU41" s="45"/>
      <c r="CV41" s="45"/>
      <c r="CW41" s="45"/>
      <c r="CX41" s="45"/>
      <c r="CY41" s="45"/>
      <c r="CZ41" s="45"/>
      <c r="DA41" s="45"/>
      <c r="DB41" s="45"/>
      <c r="DC41" s="68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5"/>
      <c r="DP41" s="45"/>
      <c r="DQ41" s="45"/>
      <c r="DR41" s="45"/>
      <c r="DS41" s="63"/>
    </row>
    <row r="42" spans="2:123" ht="30" x14ac:dyDescent="0.25">
      <c r="B42" s="1" t="str">
        <f>Base!I35</f>
        <v>309 implémenter la recherche par couleur de robe</v>
      </c>
      <c r="C42" s="65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65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39"/>
      <c r="AT42" s="39"/>
      <c r="AU42" s="39"/>
      <c r="AV42" s="39"/>
      <c r="AW42" s="39"/>
      <c r="AX42" s="39"/>
      <c r="AY42" s="39"/>
      <c r="AZ42" s="39"/>
      <c r="BA42" s="39"/>
      <c r="BB42" s="195"/>
      <c r="BC42" s="65"/>
      <c r="BD42" s="40"/>
      <c r="BE42" s="39"/>
      <c r="BF42" s="40"/>
      <c r="BG42" s="40"/>
      <c r="BH42" s="39"/>
      <c r="BI42" s="39"/>
      <c r="BJ42" s="39"/>
      <c r="BK42" s="39"/>
      <c r="BL42" s="39"/>
      <c r="BM42" s="166"/>
      <c r="BN42" s="39"/>
      <c r="BO42" s="39"/>
      <c r="BP42" s="39"/>
      <c r="BQ42" s="39"/>
      <c r="BR42" s="40"/>
      <c r="BS42" s="40"/>
      <c r="BT42" s="40"/>
      <c r="BU42" s="40"/>
      <c r="BV42" s="40"/>
      <c r="BW42" s="40"/>
      <c r="BX42" s="40"/>
      <c r="BY42" s="40"/>
      <c r="BZ42" s="40"/>
      <c r="CA42" s="39"/>
      <c r="CB42" s="39"/>
      <c r="CC42" s="39"/>
      <c r="CD42" s="39"/>
      <c r="CE42" s="39"/>
      <c r="CF42" s="61"/>
      <c r="CG42" s="40"/>
      <c r="CH42" s="40"/>
      <c r="CI42" s="40"/>
      <c r="CJ42" s="40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65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39"/>
      <c r="DP42" s="39"/>
      <c r="DQ42" s="39"/>
      <c r="DR42" s="39"/>
      <c r="DS42" s="61"/>
    </row>
    <row r="43" spans="2:123" ht="30" x14ac:dyDescent="0.25">
      <c r="B43" s="1" t="str">
        <f>Base!I36</f>
        <v>310 implémenter la recherche par cépage</v>
      </c>
      <c r="C43" s="65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65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39"/>
      <c r="AT43" s="39"/>
      <c r="AU43" s="39"/>
      <c r="AV43" s="39"/>
      <c r="AW43" s="39"/>
      <c r="AX43" s="39"/>
      <c r="AY43" s="39"/>
      <c r="AZ43" s="39"/>
      <c r="BA43" s="39"/>
      <c r="BB43" s="195"/>
      <c r="BC43" s="65"/>
      <c r="BD43" s="40"/>
      <c r="BE43" s="39"/>
      <c r="BF43" s="40"/>
      <c r="BG43" s="40"/>
      <c r="BH43" s="39"/>
      <c r="BI43" s="39"/>
      <c r="BJ43" s="39"/>
      <c r="BK43" s="39"/>
      <c r="BL43" s="39"/>
      <c r="BM43" s="39"/>
      <c r="BN43" s="166"/>
      <c r="BO43" s="39"/>
      <c r="BP43" s="39"/>
      <c r="BQ43" s="39"/>
      <c r="BR43" s="39"/>
      <c r="BS43" s="40"/>
      <c r="BT43" s="40"/>
      <c r="BU43" s="40"/>
      <c r="BV43" s="40"/>
      <c r="BW43" s="40"/>
      <c r="BX43" s="40"/>
      <c r="BY43" s="40"/>
      <c r="BZ43" s="40"/>
      <c r="CA43" s="39"/>
      <c r="CB43" s="39"/>
      <c r="CC43" s="39"/>
      <c r="CD43" s="39"/>
      <c r="CE43" s="39"/>
      <c r="CF43" s="61"/>
      <c r="CG43" s="40"/>
      <c r="CH43" s="40"/>
      <c r="CI43" s="40"/>
      <c r="CJ43" s="40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65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39"/>
      <c r="DP43" s="39"/>
      <c r="DQ43" s="39"/>
      <c r="DR43" s="39"/>
      <c r="DS43" s="61"/>
    </row>
    <row r="44" spans="2:123" ht="30" x14ac:dyDescent="0.25">
      <c r="B44" s="1" t="str">
        <f>Base!I37</f>
        <v>311 implémenter la recherche par vigneron</v>
      </c>
      <c r="C44" s="65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65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39"/>
      <c r="AT44" s="39"/>
      <c r="AU44" s="39"/>
      <c r="AV44" s="39"/>
      <c r="AW44" s="39"/>
      <c r="AX44" s="39"/>
      <c r="AY44" s="39"/>
      <c r="AZ44" s="39"/>
      <c r="BA44" s="39"/>
      <c r="BB44" s="195"/>
      <c r="BC44" s="65"/>
      <c r="BD44" s="40"/>
      <c r="BE44" s="39"/>
      <c r="BF44" s="40"/>
      <c r="BG44" s="40"/>
      <c r="BH44" s="39"/>
      <c r="BI44" s="39"/>
      <c r="BJ44" s="39"/>
      <c r="BK44" s="39"/>
      <c r="BL44" s="39"/>
      <c r="BM44" s="39"/>
      <c r="BN44" s="39"/>
      <c r="BO44" s="166"/>
      <c r="BP44" s="39"/>
      <c r="BQ44" s="39"/>
      <c r="BR44" s="39"/>
      <c r="BS44" s="40"/>
      <c r="BT44" s="40"/>
      <c r="BU44" s="40"/>
      <c r="BV44" s="40"/>
      <c r="BW44" s="40"/>
      <c r="BX44" s="40"/>
      <c r="BY44" s="40"/>
      <c r="BZ44" s="40"/>
      <c r="CA44" s="39"/>
      <c r="CB44" s="39"/>
      <c r="CC44" s="39"/>
      <c r="CD44" s="39"/>
      <c r="CE44" s="39"/>
      <c r="CF44" s="61"/>
      <c r="CG44" s="40"/>
      <c r="CH44" s="40"/>
      <c r="CI44" s="40"/>
      <c r="CJ44" s="40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65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39"/>
      <c r="DP44" s="39"/>
      <c r="DQ44" s="39"/>
      <c r="DR44" s="39"/>
      <c r="DS44" s="61"/>
    </row>
    <row r="45" spans="2:123" ht="30" x14ac:dyDescent="0.25">
      <c r="B45" s="1" t="str">
        <f>Base!I38</f>
        <v>312 implémenter la recherche par pays</v>
      </c>
      <c r="C45" s="65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65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39"/>
      <c r="AT45" s="39"/>
      <c r="AU45" s="39"/>
      <c r="AV45" s="39"/>
      <c r="AW45" s="39"/>
      <c r="AX45" s="39"/>
      <c r="AY45" s="39"/>
      <c r="AZ45" s="39"/>
      <c r="BA45" s="39"/>
      <c r="BB45" s="195"/>
      <c r="BC45" s="65"/>
      <c r="BD45" s="40"/>
      <c r="BE45" s="39"/>
      <c r="BF45" s="40"/>
      <c r="BG45" s="40"/>
      <c r="BH45" s="39"/>
      <c r="BI45" s="39"/>
      <c r="BJ45" s="39"/>
      <c r="BK45" s="39"/>
      <c r="BL45" s="39"/>
      <c r="BM45" s="39"/>
      <c r="BN45" s="39"/>
      <c r="BO45" s="39"/>
      <c r="BP45" s="166"/>
      <c r="BQ45" s="39"/>
      <c r="BR45" s="39"/>
      <c r="BS45" s="39"/>
      <c r="BT45" s="40"/>
      <c r="BU45" s="40"/>
      <c r="BV45" s="40"/>
      <c r="BW45" s="40"/>
      <c r="BX45" s="40"/>
      <c r="BY45" s="40"/>
      <c r="BZ45" s="40"/>
      <c r="CA45" s="40"/>
      <c r="CB45" s="39"/>
      <c r="CC45" s="39"/>
      <c r="CD45" s="39"/>
      <c r="CE45" s="39"/>
      <c r="CF45" s="61"/>
      <c r="CG45" s="40"/>
      <c r="CH45" s="40"/>
      <c r="CI45" s="40"/>
      <c r="CJ45" s="40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65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39"/>
      <c r="DP45" s="39"/>
      <c r="DQ45" s="39"/>
      <c r="DR45" s="39"/>
      <c r="DS45" s="61"/>
    </row>
    <row r="46" spans="2:123" ht="30" x14ac:dyDescent="0.25">
      <c r="B46" s="1" t="str">
        <f>Base!I39</f>
        <v>313 implémenter l'export d'une liste triée par PDF</v>
      </c>
      <c r="C46" s="65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65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39"/>
      <c r="AT46" s="39"/>
      <c r="AU46" s="39"/>
      <c r="AV46" s="39"/>
      <c r="AW46" s="39"/>
      <c r="AX46" s="39"/>
      <c r="AY46" s="39"/>
      <c r="AZ46" s="39"/>
      <c r="BA46" s="39"/>
      <c r="BB46" s="195"/>
      <c r="BC46" s="65"/>
      <c r="BD46" s="40"/>
      <c r="BE46" s="39"/>
      <c r="BF46" s="40"/>
      <c r="BG46" s="40"/>
      <c r="BH46" s="39"/>
      <c r="BI46" s="39"/>
      <c r="BJ46" s="39"/>
      <c r="BK46" s="39"/>
      <c r="BL46" s="39"/>
      <c r="BM46" s="39"/>
      <c r="BN46" s="39"/>
      <c r="BO46" s="39"/>
      <c r="BP46" s="39"/>
      <c r="BQ46" s="166"/>
      <c r="BR46" s="166"/>
      <c r="BS46" s="166"/>
      <c r="BT46" s="40"/>
      <c r="BU46" s="40"/>
      <c r="BV46" s="40"/>
      <c r="BW46" s="40"/>
      <c r="BX46" s="40"/>
      <c r="BY46" s="40"/>
      <c r="BZ46" s="40"/>
      <c r="CA46" s="40"/>
      <c r="CB46" s="39"/>
      <c r="CC46" s="39"/>
      <c r="CD46" s="39"/>
      <c r="CE46" s="39"/>
      <c r="CF46" s="61"/>
      <c r="CG46" s="40"/>
      <c r="CH46" s="40"/>
      <c r="CI46" s="40"/>
      <c r="CJ46" s="40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65"/>
      <c r="DD46" s="40"/>
      <c r="DE46" s="40"/>
      <c r="DF46" s="40"/>
      <c r="DG46" s="40"/>
      <c r="DH46" s="40"/>
      <c r="DI46" s="40"/>
      <c r="DJ46" s="40"/>
      <c r="DK46" s="40"/>
      <c r="DL46" s="40"/>
      <c r="DM46" s="40"/>
      <c r="DN46" s="40"/>
      <c r="DO46" s="39"/>
      <c r="DP46" s="39"/>
      <c r="DQ46" s="39"/>
      <c r="DR46" s="39"/>
      <c r="DS46" s="61"/>
    </row>
    <row r="47" spans="2:123" ht="15" customHeight="1" x14ac:dyDescent="0.25">
      <c r="B47" s="1" t="str">
        <f>Base!I40</f>
        <v>314 implémenter l'ajout de casiers</v>
      </c>
      <c r="C47" s="65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65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39"/>
      <c r="AT47" s="39"/>
      <c r="AU47" s="39"/>
      <c r="AV47" s="39"/>
      <c r="AW47" s="39"/>
      <c r="AX47" s="39"/>
      <c r="AY47" s="39"/>
      <c r="AZ47" s="39"/>
      <c r="BA47" s="39"/>
      <c r="BB47" s="195"/>
      <c r="BC47" s="65"/>
      <c r="BD47" s="40"/>
      <c r="BE47" s="39"/>
      <c r="BF47" s="40"/>
      <c r="BG47" s="160"/>
      <c r="BH47" s="166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40"/>
      <c r="BU47" s="40"/>
      <c r="BV47" s="40"/>
      <c r="BW47" s="40"/>
      <c r="BX47" s="40"/>
      <c r="BY47" s="40"/>
      <c r="BZ47" s="40"/>
      <c r="CA47" s="40"/>
      <c r="CB47" s="39"/>
      <c r="CC47" s="39"/>
      <c r="CD47" s="39"/>
      <c r="CE47" s="39"/>
      <c r="CF47" s="61"/>
      <c r="CG47" s="40"/>
      <c r="CH47" s="40"/>
      <c r="CI47" s="40"/>
      <c r="CJ47" s="40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65"/>
      <c r="DD47" s="40"/>
      <c r="DE47" s="40"/>
      <c r="DF47" s="40"/>
      <c r="DG47" s="40"/>
      <c r="DH47" s="40"/>
      <c r="DI47" s="40"/>
      <c r="DJ47" s="40"/>
      <c r="DK47" s="40"/>
      <c r="DL47" s="40"/>
      <c r="DM47" s="40"/>
      <c r="DN47" s="40"/>
      <c r="DO47" s="39"/>
      <c r="DP47" s="39"/>
      <c r="DQ47" s="39"/>
      <c r="DR47" s="39"/>
      <c r="DS47" s="61"/>
    </row>
    <row r="48" spans="2:123" ht="30" x14ac:dyDescent="0.25">
      <c r="B48" s="1" t="str">
        <f>Base!I41</f>
        <v>315 implémenter le retrait de casiers</v>
      </c>
      <c r="C48" s="65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65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39"/>
      <c r="AT48" s="39"/>
      <c r="AU48" s="39"/>
      <c r="AV48" s="39"/>
      <c r="AW48" s="39"/>
      <c r="AX48" s="39"/>
      <c r="AY48" s="39"/>
      <c r="AZ48" s="39"/>
      <c r="BA48" s="39"/>
      <c r="BB48" s="195"/>
      <c r="BC48" s="65"/>
      <c r="BD48" s="40"/>
      <c r="BE48" s="39"/>
      <c r="BF48" s="40"/>
      <c r="BG48" s="40"/>
      <c r="BH48" s="39"/>
      <c r="BI48" s="166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40"/>
      <c r="BU48" s="40"/>
      <c r="BV48" s="40"/>
      <c r="BW48" s="40"/>
      <c r="BX48" s="40"/>
      <c r="BY48" s="40"/>
      <c r="BZ48" s="40"/>
      <c r="CA48" s="40"/>
      <c r="CB48" s="39"/>
      <c r="CC48" s="39"/>
      <c r="CD48" s="39"/>
      <c r="CE48" s="39"/>
      <c r="CF48" s="61"/>
      <c r="CG48" s="40"/>
      <c r="CH48" s="40"/>
      <c r="CI48" s="40"/>
      <c r="CJ48" s="40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65"/>
      <c r="DD48" s="40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39"/>
      <c r="DP48" s="39"/>
      <c r="DQ48" s="39"/>
      <c r="DR48" s="39"/>
      <c r="DS48" s="61"/>
    </row>
    <row r="49" spans="2:123" ht="30" x14ac:dyDescent="0.25">
      <c r="B49" s="1" t="str">
        <f>Base!I42</f>
        <v>316 implémenter une alerte sur éléments spécifiques</v>
      </c>
      <c r="C49" s="65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65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39"/>
      <c r="AT49" s="39"/>
      <c r="AU49" s="39"/>
      <c r="AV49" s="39"/>
      <c r="AW49" s="39"/>
      <c r="AX49" s="39"/>
      <c r="AY49" s="39"/>
      <c r="AZ49" s="39"/>
      <c r="BA49" s="39"/>
      <c r="BB49" s="195"/>
      <c r="BC49" s="65"/>
      <c r="BD49" s="40"/>
      <c r="BE49" s="39"/>
      <c r="BF49" s="40"/>
      <c r="BG49" s="40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166"/>
      <c r="BU49" s="40"/>
      <c r="BV49" s="40"/>
      <c r="BW49" s="40"/>
      <c r="BX49" s="40"/>
      <c r="BY49" s="40"/>
      <c r="BZ49" s="40"/>
      <c r="CA49" s="40"/>
      <c r="CB49" s="39"/>
      <c r="CC49" s="39"/>
      <c r="CD49" s="39"/>
      <c r="CE49" s="39"/>
      <c r="CF49" s="61"/>
      <c r="CG49" s="40"/>
      <c r="CH49" s="40"/>
      <c r="CI49" s="40"/>
      <c r="CJ49" s="40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65"/>
      <c r="DD49" s="40"/>
      <c r="DE49" s="40"/>
      <c r="DF49" s="40"/>
      <c r="DG49" s="40"/>
      <c r="DH49" s="40"/>
      <c r="DI49" s="40"/>
      <c r="DJ49" s="40"/>
      <c r="DK49" s="40"/>
      <c r="DL49" s="40"/>
      <c r="DM49" s="40"/>
      <c r="DN49" s="40"/>
      <c r="DO49" s="39"/>
      <c r="DP49" s="39"/>
      <c r="DQ49" s="39"/>
      <c r="DR49" s="39"/>
      <c r="DS49" s="61"/>
    </row>
    <row r="50" spans="2:123" ht="30" x14ac:dyDescent="0.25">
      <c r="B50" s="1" t="str">
        <f>Base!I43</f>
        <v>317 implémenter l'impression d'une liste triée</v>
      </c>
      <c r="C50" s="65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65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39"/>
      <c r="AT50" s="39"/>
      <c r="AU50" s="39"/>
      <c r="AV50" s="39"/>
      <c r="AW50" s="39"/>
      <c r="AX50" s="39"/>
      <c r="AY50" s="39"/>
      <c r="AZ50" s="39"/>
      <c r="BA50" s="39"/>
      <c r="BB50" s="195"/>
      <c r="BC50" s="65"/>
      <c r="BD50" s="40"/>
      <c r="BE50" s="39"/>
      <c r="BF50" s="40"/>
      <c r="BG50" s="40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40"/>
      <c r="BV50" s="40"/>
      <c r="BW50" s="40"/>
      <c r="BX50" s="40"/>
      <c r="BY50" s="160"/>
      <c r="BZ50" s="160"/>
      <c r="CA50" s="40"/>
      <c r="CB50" s="39"/>
      <c r="CC50" s="39"/>
      <c r="CD50" s="39"/>
      <c r="CE50" s="39"/>
      <c r="CF50" s="61"/>
      <c r="CG50" s="40"/>
      <c r="CH50" s="40"/>
      <c r="CI50" s="40"/>
      <c r="CJ50" s="40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65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39"/>
      <c r="DP50" s="39"/>
      <c r="DQ50" s="39"/>
      <c r="DR50" s="39"/>
      <c r="DS50" s="61"/>
    </row>
    <row r="51" spans="2:123" x14ac:dyDescent="0.25">
      <c r="B51" s="1" t="str">
        <f>Base!I44</f>
        <v xml:space="preserve">318 - </v>
      </c>
      <c r="C51" s="65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65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39"/>
      <c r="AT51" s="39"/>
      <c r="AU51" s="39"/>
      <c r="AV51" s="39"/>
      <c r="AW51" s="39"/>
      <c r="AX51" s="39"/>
      <c r="AY51" s="39"/>
      <c r="AZ51" s="39"/>
      <c r="BA51" s="39"/>
      <c r="BB51" s="195"/>
      <c r="BC51" s="65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6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61"/>
      <c r="CG51" s="40"/>
      <c r="CH51" s="40"/>
      <c r="CI51" s="40"/>
      <c r="CJ51" s="40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65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39"/>
      <c r="DP51" s="39"/>
      <c r="DQ51" s="39"/>
      <c r="DR51" s="39"/>
      <c r="DS51" s="61"/>
    </row>
    <row r="52" spans="2:123" ht="15" customHeight="1" x14ac:dyDescent="0.25">
      <c r="B52" s="1" t="str">
        <f>Base!I45</f>
        <v xml:space="preserve">319 - </v>
      </c>
      <c r="C52" s="65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65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39"/>
      <c r="AT52" s="39"/>
      <c r="AU52" s="39"/>
      <c r="AV52" s="39"/>
      <c r="AW52" s="39"/>
      <c r="AX52" s="39"/>
      <c r="AY52" s="39"/>
      <c r="AZ52" s="39"/>
      <c r="BA52" s="39"/>
      <c r="BB52" s="195"/>
      <c r="BC52" s="65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61"/>
      <c r="CG52" s="40"/>
      <c r="CH52" s="40"/>
      <c r="CI52" s="40"/>
      <c r="CJ52" s="40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65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39"/>
      <c r="DP52" s="39"/>
      <c r="DQ52" s="39"/>
      <c r="DR52" s="39"/>
      <c r="DS52" s="61"/>
    </row>
    <row r="53" spans="2:123" ht="15" customHeight="1" x14ac:dyDescent="0.25">
      <c r="B53" s="1" t="str">
        <f>Base!I46</f>
        <v xml:space="preserve">320 - </v>
      </c>
      <c r="C53" s="65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65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39"/>
      <c r="AT53" s="39"/>
      <c r="AU53" s="39"/>
      <c r="AV53" s="39"/>
      <c r="AW53" s="39"/>
      <c r="AX53" s="39"/>
      <c r="AY53" s="39"/>
      <c r="AZ53" s="39"/>
      <c r="BA53" s="39"/>
      <c r="BB53" s="195"/>
      <c r="BC53" s="65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61"/>
      <c r="CG53" s="40"/>
      <c r="CH53" s="40"/>
      <c r="CI53" s="40"/>
      <c r="CJ53" s="40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65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39"/>
      <c r="DP53" s="39"/>
      <c r="DQ53" s="39"/>
      <c r="DR53" s="39"/>
      <c r="DS53" s="61"/>
    </row>
    <row r="54" spans="2:123" ht="15" customHeight="1" x14ac:dyDescent="0.25">
      <c r="B54" s="1" t="str">
        <f>Base!I47</f>
        <v xml:space="preserve">321 - </v>
      </c>
      <c r="C54" s="65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65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39"/>
      <c r="AT54" s="39"/>
      <c r="AU54" s="39"/>
      <c r="AV54" s="39"/>
      <c r="AW54" s="39"/>
      <c r="AX54" s="39"/>
      <c r="AY54" s="39"/>
      <c r="AZ54" s="39"/>
      <c r="BA54" s="39"/>
      <c r="BB54" s="195"/>
      <c r="BC54" s="65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61"/>
      <c r="CG54" s="40"/>
      <c r="CH54" s="40"/>
      <c r="CI54" s="40"/>
      <c r="CJ54" s="40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65"/>
      <c r="DD54" s="40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39"/>
      <c r="DP54" s="39"/>
      <c r="DQ54" s="39"/>
      <c r="DR54" s="39"/>
      <c r="DS54" s="61"/>
    </row>
    <row r="55" spans="2:123" ht="15.75" customHeight="1" thickBot="1" x14ac:dyDescent="0.3">
      <c r="B55" s="1" t="str">
        <f>Base!I48</f>
        <v xml:space="preserve">322 - </v>
      </c>
      <c r="C55" s="67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66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59"/>
      <c r="AT55" s="59"/>
      <c r="AU55" s="59"/>
      <c r="AV55" s="59"/>
      <c r="AW55" s="59"/>
      <c r="AX55" s="59"/>
      <c r="AY55" s="59"/>
      <c r="AZ55" s="59"/>
      <c r="BA55" s="59"/>
      <c r="BB55" s="196"/>
      <c r="BC55" s="66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64"/>
      <c r="CG55" s="42"/>
      <c r="CH55" s="42"/>
      <c r="CI55" s="42"/>
      <c r="CJ55" s="42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67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1"/>
      <c r="DP55" s="41"/>
      <c r="DQ55" s="41"/>
      <c r="DR55" s="41"/>
      <c r="DS55" s="62"/>
    </row>
    <row r="56" spans="2:123" ht="15.75" customHeight="1" x14ac:dyDescent="0.25">
      <c r="B56" s="205" t="str">
        <f>Base!H49</f>
        <v>Documentation</v>
      </c>
      <c r="C56" s="30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  <c r="CW56" s="51"/>
      <c r="CX56" s="51"/>
      <c r="CY56" s="51"/>
      <c r="CZ56" s="51"/>
      <c r="DA56" s="51"/>
      <c r="DB56" s="51"/>
      <c r="DC56" s="51"/>
      <c r="DD56" s="51"/>
      <c r="DE56" s="51"/>
      <c r="DF56" s="51"/>
      <c r="DG56" s="51"/>
      <c r="DH56" s="51"/>
      <c r="DI56" s="51"/>
      <c r="DJ56" s="51"/>
      <c r="DK56" s="51"/>
      <c r="DL56" s="51"/>
      <c r="DM56" s="51"/>
      <c r="DN56" s="51"/>
      <c r="DO56" s="51"/>
      <c r="DP56" s="51"/>
      <c r="DQ56" s="51"/>
      <c r="DR56" s="51"/>
      <c r="DS56" s="52"/>
    </row>
    <row r="57" spans="2:123" ht="15.75" customHeight="1" thickBot="1" x14ac:dyDescent="0.3">
      <c r="B57" s="206"/>
      <c r="C57" s="31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 s="53"/>
      <c r="BG57" s="53"/>
      <c r="BH57" s="53"/>
      <c r="BI57" s="53"/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53"/>
      <c r="CE57" s="53"/>
      <c r="CF57" s="53"/>
      <c r="CG57" s="53"/>
      <c r="CH57" s="53"/>
      <c r="CI57" s="53"/>
      <c r="CJ57" s="53"/>
      <c r="CK57" s="53"/>
      <c r="CL57" s="53"/>
      <c r="CM57" s="53"/>
      <c r="CN57" s="53"/>
      <c r="CO57" s="53"/>
      <c r="CP57" s="53"/>
      <c r="CQ57" s="53"/>
      <c r="CR57" s="53"/>
      <c r="CS57" s="53"/>
      <c r="CT57" s="53"/>
      <c r="CU57" s="53"/>
      <c r="CV57" s="53"/>
      <c r="CW57" s="53"/>
      <c r="CX57" s="53"/>
      <c r="CY57" s="53"/>
      <c r="CZ57" s="53"/>
      <c r="DA57" s="53"/>
      <c r="DB57" s="53"/>
      <c r="DC57" s="53"/>
      <c r="DD57" s="53"/>
      <c r="DE57" s="53"/>
      <c r="DF57" s="53"/>
      <c r="DG57" s="53"/>
      <c r="DH57" s="53"/>
      <c r="DI57" s="53"/>
      <c r="DJ57" s="53"/>
      <c r="DK57" s="53"/>
      <c r="DL57" s="53"/>
      <c r="DM57" s="53"/>
      <c r="DN57" s="53"/>
      <c r="DO57" s="53"/>
      <c r="DP57" s="53"/>
      <c r="DQ57" s="53"/>
      <c r="DR57" s="53"/>
      <c r="DS57" s="54"/>
    </row>
    <row r="58" spans="2:123" ht="15" customHeight="1" x14ac:dyDescent="0.25">
      <c r="B58" s="1" t="str">
        <f>Base!I49</f>
        <v>401 mise en forme du rapport de projet</v>
      </c>
      <c r="C58" s="190"/>
      <c r="D58" s="189"/>
      <c r="E58" s="189"/>
      <c r="F58" s="189"/>
      <c r="G58" s="189"/>
      <c r="H58" s="189"/>
      <c r="I58" s="189"/>
      <c r="J58" s="189"/>
      <c r="K58" s="189"/>
      <c r="L58" s="189"/>
      <c r="M58" s="189"/>
      <c r="N58" s="189"/>
      <c r="O58" s="185"/>
      <c r="P58" s="185"/>
      <c r="Q58" s="185"/>
      <c r="R58" s="185"/>
      <c r="S58" s="185"/>
      <c r="T58" s="185"/>
      <c r="U58" s="185"/>
      <c r="V58" s="185"/>
      <c r="W58" s="185"/>
      <c r="X58" s="185"/>
      <c r="Y58" s="185"/>
      <c r="Z58" s="185"/>
      <c r="AA58" s="185"/>
      <c r="AB58" s="185"/>
      <c r="AC58" s="185"/>
      <c r="AD58" s="185"/>
      <c r="AE58" s="185"/>
      <c r="AF58" s="185"/>
      <c r="AG58" s="190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5"/>
      <c r="AT58" s="185"/>
      <c r="AU58" s="185"/>
      <c r="AV58" s="185"/>
      <c r="AW58" s="185"/>
      <c r="AX58" s="185"/>
      <c r="AY58" s="185"/>
      <c r="AZ58" s="185"/>
      <c r="BA58" s="185"/>
      <c r="BB58" s="185"/>
      <c r="BC58" s="186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8"/>
      <c r="BP58" s="188"/>
      <c r="BQ58" s="188"/>
      <c r="BR58" s="188"/>
      <c r="BS58" s="188"/>
      <c r="BT58" s="188"/>
      <c r="BU58" s="188"/>
      <c r="BV58" s="188"/>
      <c r="BW58" s="188"/>
      <c r="BX58" s="188"/>
      <c r="BY58" s="188"/>
      <c r="BZ58" s="188"/>
      <c r="CA58" s="188"/>
      <c r="CB58" s="188"/>
      <c r="CC58" s="188"/>
      <c r="CD58" s="188"/>
      <c r="CE58" s="188"/>
      <c r="CF58" s="197"/>
      <c r="CG58" s="189"/>
      <c r="CH58" s="189"/>
      <c r="CI58" s="189"/>
      <c r="CJ58" s="189"/>
      <c r="CK58" s="185"/>
      <c r="CL58" s="185"/>
      <c r="CM58" s="185"/>
      <c r="CN58" s="185"/>
      <c r="CO58" s="185"/>
      <c r="CP58" s="185"/>
      <c r="CQ58" s="185"/>
      <c r="CR58" s="185"/>
      <c r="CS58" s="185"/>
      <c r="CT58" s="185"/>
      <c r="CU58" s="185"/>
      <c r="CV58" s="185"/>
      <c r="CW58" s="185"/>
      <c r="CX58" s="185"/>
      <c r="CY58" s="185"/>
      <c r="CZ58" s="185"/>
      <c r="DA58" s="185"/>
      <c r="DB58" s="185"/>
      <c r="DC58" s="190"/>
      <c r="DD58" s="189"/>
      <c r="DE58" s="189"/>
      <c r="DF58" s="189"/>
      <c r="DG58" s="189"/>
      <c r="DH58" s="189"/>
      <c r="DI58" s="189"/>
      <c r="DJ58" s="189"/>
      <c r="DK58" s="189"/>
      <c r="DL58" s="189"/>
      <c r="DM58" s="189"/>
      <c r="DN58" s="189"/>
      <c r="DO58" s="185"/>
      <c r="DP58" s="185"/>
      <c r="DQ58" s="185"/>
      <c r="DR58" s="185"/>
      <c r="DS58" s="191"/>
    </row>
    <row r="59" spans="2:123" x14ac:dyDescent="0.25">
      <c r="B59" s="1" t="str">
        <f>Base!I50</f>
        <v>402 journal de travail</v>
      </c>
      <c r="C59" s="167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7"/>
      <c r="AH59" s="168"/>
      <c r="AI59" s="168"/>
      <c r="AJ59" s="168"/>
      <c r="AK59" s="168"/>
      <c r="AL59" s="168"/>
      <c r="AM59" s="168"/>
      <c r="AN59" s="168"/>
      <c r="AO59" s="168"/>
      <c r="AP59" s="168"/>
      <c r="AQ59" s="168"/>
      <c r="AR59" s="168"/>
      <c r="AS59" s="169"/>
      <c r="AT59" s="169"/>
      <c r="AU59" s="169"/>
      <c r="AV59" s="169"/>
      <c r="AW59" s="169"/>
      <c r="AX59" s="169"/>
      <c r="AY59" s="169"/>
      <c r="AZ59" s="169"/>
      <c r="BA59" s="169"/>
      <c r="BB59" s="169"/>
      <c r="BC59" s="167"/>
      <c r="BD59" s="168"/>
      <c r="BE59" s="168"/>
      <c r="BF59" s="168"/>
      <c r="BG59" s="168"/>
      <c r="BH59" s="168"/>
      <c r="BI59" s="168"/>
      <c r="BJ59" s="168"/>
      <c r="BK59" s="168"/>
      <c r="BL59" s="168"/>
      <c r="BM59" s="168"/>
      <c r="BN59" s="168"/>
      <c r="BO59" s="169"/>
      <c r="BP59" s="169"/>
      <c r="BQ59" s="169"/>
      <c r="BR59" s="169"/>
      <c r="BS59" s="169"/>
      <c r="BT59" s="169"/>
      <c r="BU59" s="169"/>
      <c r="BV59" s="169"/>
      <c r="BW59" s="169"/>
      <c r="BX59" s="169"/>
      <c r="BY59" s="169"/>
      <c r="BZ59" s="169"/>
      <c r="CA59" s="169"/>
      <c r="CB59" s="169"/>
      <c r="CC59" s="169"/>
      <c r="CD59" s="169"/>
      <c r="CE59" s="169"/>
      <c r="CF59" s="170"/>
      <c r="CG59" s="168"/>
      <c r="CH59" s="168"/>
      <c r="CI59" s="168"/>
      <c r="CJ59" s="168"/>
      <c r="CK59" s="169"/>
      <c r="CL59" s="169"/>
      <c r="CM59" s="169"/>
      <c r="CN59" s="169"/>
      <c r="CO59" s="169"/>
      <c r="CP59" s="169"/>
      <c r="CQ59" s="169"/>
      <c r="CR59" s="169"/>
      <c r="CS59" s="169"/>
      <c r="CT59" s="169"/>
      <c r="CU59" s="169"/>
      <c r="CV59" s="169"/>
      <c r="CW59" s="169"/>
      <c r="CX59" s="169"/>
      <c r="CY59" s="169"/>
      <c r="CZ59" s="169"/>
      <c r="DA59" s="169"/>
      <c r="DB59" s="169"/>
      <c r="DC59" s="167"/>
      <c r="DD59" s="168"/>
      <c r="DE59" s="168"/>
      <c r="DF59" s="168"/>
      <c r="DG59" s="168"/>
      <c r="DH59" s="168"/>
      <c r="DI59" s="168"/>
      <c r="DJ59" s="168"/>
      <c r="DK59" s="168"/>
      <c r="DL59" s="168"/>
      <c r="DM59" s="168"/>
      <c r="DN59" s="168"/>
      <c r="DO59" s="169"/>
      <c r="DP59" s="169"/>
      <c r="DQ59" s="169"/>
      <c r="DR59" s="169"/>
      <c r="DS59" s="170"/>
    </row>
    <row r="60" spans="2:123" x14ac:dyDescent="0.25">
      <c r="B60" s="1" t="str">
        <f>Base!I51</f>
        <v>403 procédure d'installation</v>
      </c>
      <c r="C60" s="65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65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65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61"/>
      <c r="CG60" s="40"/>
      <c r="CH60" s="40"/>
      <c r="CI60" s="40"/>
      <c r="CJ60" s="40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65"/>
      <c r="DD60" s="40"/>
      <c r="DE60" s="40"/>
      <c r="DF60" s="40"/>
      <c r="DG60" s="40"/>
      <c r="DH60" s="40"/>
      <c r="DI60" s="40"/>
      <c r="DJ60" s="40"/>
      <c r="DK60" s="40"/>
      <c r="DL60" s="40"/>
      <c r="DM60" s="164"/>
      <c r="DN60" s="164"/>
      <c r="DO60" s="165"/>
      <c r="DP60" s="39"/>
      <c r="DQ60" s="39"/>
      <c r="DR60" s="39"/>
      <c r="DS60" s="61"/>
    </row>
    <row r="61" spans="2:123" x14ac:dyDescent="0.25">
      <c r="B61" s="1" t="str">
        <f>Base!I52</f>
        <v>404 procédure de test</v>
      </c>
      <c r="C61" s="65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39"/>
      <c r="P61" s="165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65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65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61"/>
      <c r="CG61" s="40"/>
      <c r="CH61" s="40"/>
      <c r="CI61" s="40"/>
      <c r="CJ61" s="40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65"/>
      <c r="DD61" s="40"/>
      <c r="DE61" s="40"/>
      <c r="DF61" s="40"/>
      <c r="DG61" s="40"/>
      <c r="DH61" s="40"/>
      <c r="DI61" s="40"/>
      <c r="DJ61" s="40"/>
      <c r="DK61" s="164"/>
      <c r="DL61" s="164"/>
      <c r="DM61" s="40"/>
      <c r="DN61" s="40"/>
      <c r="DO61" s="39"/>
      <c r="DP61" s="39"/>
      <c r="DQ61" s="39"/>
      <c r="DR61" s="39"/>
      <c r="DS61" s="61"/>
    </row>
    <row r="62" spans="2:123" x14ac:dyDescent="0.25">
      <c r="B62" s="1" t="str">
        <f>Base!I53</f>
        <v>405 mise en place du GitHub</v>
      </c>
      <c r="C62" s="65"/>
      <c r="D62" s="40"/>
      <c r="E62" s="40"/>
      <c r="F62" s="40"/>
      <c r="G62" s="40"/>
      <c r="H62" s="40"/>
      <c r="I62" s="40"/>
      <c r="J62" s="164"/>
      <c r="K62" s="40"/>
      <c r="L62" s="40"/>
      <c r="M62" s="40"/>
      <c r="N62" s="40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65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65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61"/>
      <c r="CG62" s="40"/>
      <c r="CH62" s="40"/>
      <c r="CI62" s="40"/>
      <c r="CJ62" s="40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65"/>
      <c r="DD62" s="40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39"/>
      <c r="DP62" s="39"/>
      <c r="DQ62" s="39"/>
      <c r="DR62" s="39"/>
      <c r="DS62" s="61"/>
    </row>
    <row r="63" spans="2:123" ht="30.75" thickBot="1" x14ac:dyDescent="0.3">
      <c r="B63" s="1" t="str">
        <f>Base!I54</f>
        <v>406 envoi de l'avancée au CdP et aux experts</v>
      </c>
      <c r="C63" s="67"/>
      <c r="D63" s="42"/>
      <c r="E63" s="42"/>
      <c r="F63" s="42"/>
      <c r="G63" s="42"/>
      <c r="H63" s="42"/>
      <c r="I63" s="42"/>
      <c r="J63" s="171"/>
      <c r="K63" s="42"/>
      <c r="L63" s="42"/>
      <c r="M63" s="42"/>
      <c r="N63" s="42"/>
      <c r="O63" s="172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172"/>
      <c r="AG63" s="67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172"/>
      <c r="AT63" s="41"/>
      <c r="AU63" s="41"/>
      <c r="AV63" s="41"/>
      <c r="AW63" s="41"/>
      <c r="AX63" s="41"/>
      <c r="AY63" s="41"/>
      <c r="AZ63" s="41"/>
      <c r="BA63" s="41"/>
      <c r="BB63" s="172"/>
      <c r="BC63" s="66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173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198"/>
      <c r="CG63" s="42"/>
      <c r="CH63" s="42"/>
      <c r="CI63" s="42"/>
      <c r="CJ63" s="42"/>
      <c r="CK63" s="172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172"/>
      <c r="DC63" s="67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1"/>
      <c r="DP63" s="41"/>
      <c r="DQ63" s="41"/>
      <c r="DR63" s="172"/>
      <c r="DS63" s="174"/>
    </row>
    <row r="64" spans="2:123" ht="15" customHeight="1" x14ac:dyDescent="0.25">
      <c r="B64" s="207" t="str">
        <f>Base!H55</f>
        <v>Test</v>
      </c>
      <c r="C64" s="32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6"/>
    </row>
    <row r="65" spans="2:125" ht="15.75" customHeight="1" thickBot="1" x14ac:dyDescent="0.3">
      <c r="B65" s="208"/>
      <c r="C65" s="33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8"/>
    </row>
    <row r="66" spans="2:125" ht="15" customHeight="1" x14ac:dyDescent="0.25">
      <c r="B66" s="1" t="str">
        <f>Base!I55</f>
        <v>501 réalisation des tests unitaires</v>
      </c>
      <c r="C66" s="68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68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5"/>
      <c r="AT66" s="45"/>
      <c r="AU66" s="45"/>
      <c r="AV66" s="45"/>
      <c r="AW66" s="185"/>
      <c r="AX66" s="185"/>
      <c r="AY66" s="185"/>
      <c r="AZ66" s="185"/>
      <c r="BA66" s="185"/>
      <c r="BB66" s="185"/>
      <c r="BC66" s="186"/>
      <c r="BD66" s="187"/>
      <c r="BE66" s="187"/>
      <c r="BF66" s="187"/>
      <c r="BG66" s="187"/>
      <c r="BH66" s="187"/>
      <c r="BI66" s="187"/>
      <c r="BJ66" s="187"/>
      <c r="BK66" s="187"/>
      <c r="BL66" s="187"/>
      <c r="BM66" s="187"/>
      <c r="BN66" s="187"/>
      <c r="BO66" s="188"/>
      <c r="BP66" s="188"/>
      <c r="BQ66" s="188"/>
      <c r="BR66" s="188"/>
      <c r="BS66" s="188"/>
      <c r="BT66" s="188"/>
      <c r="BU66" s="188"/>
      <c r="BV66" s="188"/>
      <c r="BW66" s="188"/>
      <c r="BX66" s="188"/>
      <c r="BY66" s="188"/>
      <c r="BZ66" s="188"/>
      <c r="CA66" s="188"/>
      <c r="CB66" s="188"/>
      <c r="CC66" s="188"/>
      <c r="CD66" s="188"/>
      <c r="CE66" s="188"/>
      <c r="CF66" s="197"/>
      <c r="CG66" s="189"/>
      <c r="CH66" s="189"/>
      <c r="CI66" s="189"/>
      <c r="CJ66" s="189"/>
      <c r="CK66" s="185"/>
      <c r="CL66" s="185"/>
      <c r="CM66" s="185"/>
      <c r="CN66" s="185"/>
      <c r="CO66" s="185"/>
      <c r="CP66" s="185"/>
      <c r="CQ66" s="185"/>
      <c r="CR66" s="185"/>
      <c r="CS66" s="185"/>
      <c r="CT66" s="185"/>
      <c r="CU66" s="45"/>
      <c r="CV66" s="45"/>
      <c r="CW66" s="45"/>
      <c r="CX66" s="45"/>
      <c r="CY66" s="45"/>
      <c r="CZ66" s="45"/>
      <c r="DA66" s="45"/>
      <c r="DB66" s="45"/>
      <c r="DC66" s="68"/>
      <c r="DD66" s="46"/>
      <c r="DE66" s="46"/>
      <c r="DF66" s="46"/>
      <c r="DG66" s="46"/>
      <c r="DH66" s="46"/>
      <c r="DI66" s="46"/>
      <c r="DJ66" s="46"/>
      <c r="DK66" s="46"/>
      <c r="DL66" s="46"/>
      <c r="DM66" s="46"/>
      <c r="DN66" s="46"/>
      <c r="DO66" s="45"/>
      <c r="DP66" s="45"/>
      <c r="DQ66" s="45"/>
      <c r="DR66" s="45"/>
      <c r="DS66" s="63"/>
    </row>
    <row r="67" spans="2:125" ht="30" x14ac:dyDescent="0.25">
      <c r="B67" s="1" t="str">
        <f>Base!I56</f>
        <v>502 réalisation des tests d'intégration</v>
      </c>
      <c r="C67" s="65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65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167"/>
      <c r="BD67" s="168"/>
      <c r="BE67" s="168"/>
      <c r="BF67" s="168"/>
      <c r="BG67" s="168"/>
      <c r="BH67" s="168"/>
      <c r="BI67" s="168"/>
      <c r="BJ67" s="168"/>
      <c r="BK67" s="168"/>
      <c r="BL67" s="168"/>
      <c r="BM67" s="168"/>
      <c r="BN67" s="168"/>
      <c r="BO67" s="169"/>
      <c r="BP67" s="169"/>
      <c r="BQ67" s="169"/>
      <c r="BR67" s="169"/>
      <c r="BS67" s="169"/>
      <c r="BT67" s="169"/>
      <c r="BU67" s="169"/>
      <c r="BV67" s="169"/>
      <c r="BW67" s="169"/>
      <c r="BX67" s="169"/>
      <c r="BY67" s="169"/>
      <c r="BZ67" s="169"/>
      <c r="CA67" s="169"/>
      <c r="CB67" s="169"/>
      <c r="CC67" s="169"/>
      <c r="CD67" s="169"/>
      <c r="CE67" s="169"/>
      <c r="CF67" s="170"/>
      <c r="CG67" s="168"/>
      <c r="CH67" s="168"/>
      <c r="CI67" s="168"/>
      <c r="CJ67" s="168"/>
      <c r="CK67" s="169"/>
      <c r="CL67" s="169"/>
      <c r="CM67" s="169"/>
      <c r="CN67" s="169"/>
      <c r="CO67" s="169"/>
      <c r="CP67" s="169"/>
      <c r="CQ67" s="169"/>
      <c r="CR67" s="169"/>
      <c r="CS67" s="169"/>
      <c r="CT67" s="169"/>
      <c r="CU67" s="169"/>
      <c r="CV67" s="169"/>
      <c r="CW67" s="169"/>
      <c r="CX67" s="169"/>
      <c r="CY67" s="169"/>
      <c r="CZ67" s="169"/>
      <c r="DA67" s="169"/>
      <c r="DB67" s="169"/>
      <c r="DC67" s="65"/>
      <c r="DD67" s="40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39"/>
      <c r="DP67" s="39"/>
      <c r="DQ67" s="39"/>
      <c r="DR67" s="39"/>
      <c r="DS67" s="61"/>
    </row>
    <row r="68" spans="2:125" ht="15" customHeight="1" x14ac:dyDescent="0.25">
      <c r="B68" s="1" t="str">
        <f>Base!I57</f>
        <v>503 réalisation des tests fonctionnels</v>
      </c>
      <c r="C68" s="65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65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167"/>
      <c r="BD68" s="168"/>
      <c r="BE68" s="168"/>
      <c r="BF68" s="168"/>
      <c r="BG68" s="168"/>
      <c r="BH68" s="168"/>
      <c r="BI68" s="168"/>
      <c r="BJ68" s="168"/>
      <c r="BK68" s="168"/>
      <c r="BL68" s="168"/>
      <c r="BM68" s="168"/>
      <c r="BN68" s="168"/>
      <c r="BO68" s="169"/>
      <c r="BP68" s="169"/>
      <c r="BQ68" s="169"/>
      <c r="BR68" s="169"/>
      <c r="BS68" s="169"/>
      <c r="BT68" s="169"/>
      <c r="BU68" s="169"/>
      <c r="BV68" s="169"/>
      <c r="BW68" s="169"/>
      <c r="BX68" s="169"/>
      <c r="BY68" s="169"/>
      <c r="BZ68" s="169"/>
      <c r="CA68" s="169"/>
      <c r="CB68" s="169"/>
      <c r="CC68" s="169"/>
      <c r="CD68" s="169"/>
      <c r="CE68" s="169"/>
      <c r="CF68" s="170"/>
      <c r="CG68" s="168"/>
      <c r="CH68" s="168"/>
      <c r="CI68" s="168"/>
      <c r="CJ68" s="168"/>
      <c r="CK68" s="169"/>
      <c r="CL68" s="169"/>
      <c r="CM68" s="169"/>
      <c r="CN68" s="169"/>
      <c r="CO68" s="169"/>
      <c r="CP68" s="169"/>
      <c r="CQ68" s="169"/>
      <c r="CR68" s="169"/>
      <c r="CS68" s="169"/>
      <c r="CT68" s="169"/>
      <c r="CU68" s="169"/>
      <c r="CV68" s="169"/>
      <c r="CW68" s="169"/>
      <c r="CX68" s="169"/>
      <c r="CY68" s="169"/>
      <c r="CZ68" s="169"/>
      <c r="DA68" s="169"/>
      <c r="DB68" s="169"/>
      <c r="DC68" s="167"/>
      <c r="DD68" s="168"/>
      <c r="DE68" s="168"/>
      <c r="DF68" s="168"/>
      <c r="DG68" s="168"/>
      <c r="DH68" s="40"/>
      <c r="DI68" s="40"/>
      <c r="DJ68" s="40"/>
      <c r="DK68" s="40"/>
      <c r="DL68" s="40"/>
      <c r="DM68" s="40"/>
      <c r="DN68" s="40"/>
      <c r="DO68" s="39"/>
      <c r="DP68" s="39"/>
      <c r="DQ68" s="39"/>
      <c r="DR68" s="39"/>
      <c r="DS68" s="61"/>
    </row>
    <row r="69" spans="2:125" ht="30" x14ac:dyDescent="0.25">
      <c r="B69" s="1" t="str">
        <f>Base!I58</f>
        <v>504 mise en forme des résultats des tests</v>
      </c>
      <c r="C69" s="65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65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39"/>
      <c r="AT69" s="39"/>
      <c r="AU69" s="39"/>
      <c r="AV69" s="39"/>
      <c r="AW69" s="169"/>
      <c r="AX69" s="169"/>
      <c r="AY69" s="169"/>
      <c r="AZ69" s="169"/>
      <c r="BA69" s="169"/>
      <c r="BB69" s="169"/>
      <c r="BC69" s="167"/>
      <c r="BD69" s="168"/>
      <c r="BE69" s="168"/>
      <c r="BF69" s="168"/>
      <c r="BG69" s="168"/>
      <c r="BH69" s="168"/>
      <c r="BI69" s="168"/>
      <c r="BJ69" s="168"/>
      <c r="BK69" s="168"/>
      <c r="BL69" s="168"/>
      <c r="BM69" s="168"/>
      <c r="BN69" s="168"/>
      <c r="BO69" s="169"/>
      <c r="BP69" s="169"/>
      <c r="BQ69" s="169"/>
      <c r="BR69" s="169"/>
      <c r="BS69" s="169"/>
      <c r="BT69" s="169"/>
      <c r="BU69" s="169"/>
      <c r="BV69" s="169"/>
      <c r="BW69" s="169"/>
      <c r="BX69" s="169"/>
      <c r="BY69" s="169"/>
      <c r="BZ69" s="169"/>
      <c r="CA69" s="169"/>
      <c r="CB69" s="169"/>
      <c r="CC69" s="169"/>
      <c r="CD69" s="169"/>
      <c r="CE69" s="169"/>
      <c r="CF69" s="170"/>
      <c r="CG69" s="168"/>
      <c r="CH69" s="168"/>
      <c r="CI69" s="168"/>
      <c r="CJ69" s="168"/>
      <c r="CK69" s="169"/>
      <c r="CL69" s="169"/>
      <c r="CM69" s="169"/>
      <c r="CN69" s="169"/>
      <c r="CO69" s="169"/>
      <c r="CP69" s="169"/>
      <c r="CQ69" s="169"/>
      <c r="CR69" s="169"/>
      <c r="CS69" s="169"/>
      <c r="CT69" s="169"/>
      <c r="CU69" s="169"/>
      <c r="CV69" s="169"/>
      <c r="CW69" s="169"/>
      <c r="CX69" s="169"/>
      <c r="CY69" s="169"/>
      <c r="CZ69" s="169"/>
      <c r="DA69" s="169"/>
      <c r="DB69" s="169"/>
      <c r="DC69" s="167"/>
      <c r="DD69" s="168"/>
      <c r="DE69" s="168"/>
      <c r="DF69" s="168"/>
      <c r="DG69" s="168"/>
      <c r="DH69" s="162"/>
      <c r="DI69" s="162"/>
      <c r="DJ69" s="162"/>
      <c r="DK69" s="40"/>
      <c r="DL69" s="40"/>
      <c r="DM69" s="40"/>
      <c r="DN69" s="40"/>
      <c r="DO69" s="39"/>
      <c r="DP69" s="39"/>
      <c r="DQ69" s="39"/>
      <c r="DR69" s="39"/>
      <c r="DS69" s="61"/>
    </row>
    <row r="70" spans="2:125" x14ac:dyDescent="0.25">
      <c r="B70" s="1" t="str">
        <f>Base!I59</f>
        <v>505 -</v>
      </c>
      <c r="C70" s="65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65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65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61"/>
      <c r="CG70" s="40"/>
      <c r="CH70" s="40"/>
      <c r="CI70" s="40"/>
      <c r="CJ70" s="40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65"/>
      <c r="DD70" s="40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39"/>
      <c r="DP70" s="39"/>
      <c r="DQ70" s="39"/>
      <c r="DR70" s="39"/>
      <c r="DS70" s="61"/>
    </row>
    <row r="71" spans="2:125" ht="15.75" thickBot="1" x14ac:dyDescent="0.3">
      <c r="B71" s="14" t="str">
        <f>Base!I60</f>
        <v>506 -</v>
      </c>
      <c r="C71" s="66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66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59"/>
      <c r="AT71" s="59"/>
      <c r="AU71" s="59"/>
      <c r="AV71" s="59"/>
      <c r="AW71" s="59"/>
      <c r="AX71" s="59"/>
      <c r="AY71" s="59"/>
      <c r="AZ71" s="59"/>
      <c r="BA71" s="59"/>
      <c r="BB71" s="59"/>
      <c r="BC71" s="66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64"/>
      <c r="CG71" s="60"/>
      <c r="CH71" s="60"/>
      <c r="CI71" s="60"/>
      <c r="CJ71" s="60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66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59"/>
      <c r="DP71" s="59"/>
      <c r="DQ71" s="59"/>
      <c r="DR71" s="59"/>
      <c r="DS71" s="64"/>
    </row>
    <row r="72" spans="2:125" ht="15" customHeight="1" x14ac:dyDescent="0.25">
      <c r="B72" s="216" t="str">
        <f>Base!H61</f>
        <v>Réunion</v>
      </c>
      <c r="C72" s="125"/>
      <c r="D72" s="126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126"/>
      <c r="Y72" s="126"/>
      <c r="Z72" s="126"/>
      <c r="AA72" s="126"/>
      <c r="AB72" s="126"/>
      <c r="AC72" s="126"/>
      <c r="AD72" s="126"/>
      <c r="AE72" s="126"/>
      <c r="AF72" s="126"/>
      <c r="AG72" s="126"/>
      <c r="AH72" s="126"/>
      <c r="AI72" s="126"/>
      <c r="AJ72" s="126"/>
      <c r="AK72" s="126"/>
      <c r="AL72" s="126"/>
      <c r="AM72" s="126"/>
      <c r="AN72" s="126"/>
      <c r="AO72" s="126"/>
      <c r="AP72" s="126"/>
      <c r="AQ72" s="126"/>
      <c r="AR72" s="126"/>
      <c r="AS72" s="126"/>
      <c r="AT72" s="126"/>
      <c r="AU72" s="126"/>
      <c r="AV72" s="126"/>
      <c r="AW72" s="126"/>
      <c r="AX72" s="126"/>
      <c r="AY72" s="126"/>
      <c r="AZ72" s="126"/>
      <c r="BA72" s="126"/>
      <c r="BB72" s="126"/>
      <c r="BC72" s="126"/>
      <c r="BD72" s="126"/>
      <c r="BE72" s="126"/>
      <c r="BF72" s="126"/>
      <c r="BG72" s="126"/>
      <c r="BH72" s="126"/>
      <c r="BI72" s="126"/>
      <c r="BJ72" s="126"/>
      <c r="BK72" s="126"/>
      <c r="BL72" s="126"/>
      <c r="BM72" s="126"/>
      <c r="BN72" s="126"/>
      <c r="BO72" s="126"/>
      <c r="BP72" s="126"/>
      <c r="BQ72" s="126"/>
      <c r="BR72" s="126"/>
      <c r="BS72" s="126"/>
      <c r="BT72" s="126"/>
      <c r="BU72" s="126"/>
      <c r="BV72" s="126"/>
      <c r="BW72" s="126"/>
      <c r="BX72" s="126"/>
      <c r="BY72" s="126"/>
      <c r="BZ72" s="126"/>
      <c r="CA72" s="126"/>
      <c r="CB72" s="126"/>
      <c r="CC72" s="126"/>
      <c r="CD72" s="126"/>
      <c r="CE72" s="126"/>
      <c r="CF72" s="126"/>
      <c r="CG72" s="126"/>
      <c r="CH72" s="126"/>
      <c r="CI72" s="126"/>
      <c r="CJ72" s="126"/>
      <c r="CK72" s="126"/>
      <c r="CL72" s="126"/>
      <c r="CM72" s="126"/>
      <c r="CN72" s="126"/>
      <c r="CO72" s="126"/>
      <c r="CP72" s="126"/>
      <c r="CQ72" s="126"/>
      <c r="CR72" s="126"/>
      <c r="CS72" s="126"/>
      <c r="CT72" s="126"/>
      <c r="CU72" s="126"/>
      <c r="CV72" s="126"/>
      <c r="CW72" s="126"/>
      <c r="CX72" s="126"/>
      <c r="CY72" s="126"/>
      <c r="CZ72" s="126"/>
      <c r="DA72" s="126"/>
      <c r="DB72" s="126"/>
      <c r="DC72" s="126"/>
      <c r="DD72" s="126"/>
      <c r="DE72" s="126"/>
      <c r="DF72" s="126"/>
      <c r="DG72" s="126"/>
      <c r="DH72" s="126"/>
      <c r="DI72" s="126"/>
      <c r="DJ72" s="126"/>
      <c r="DK72" s="126"/>
      <c r="DL72" s="126"/>
      <c r="DM72" s="126"/>
      <c r="DN72" s="126"/>
      <c r="DO72" s="126"/>
      <c r="DP72" s="126"/>
      <c r="DQ72" s="126"/>
      <c r="DR72" s="126"/>
      <c r="DS72" s="127"/>
    </row>
    <row r="73" spans="2:125" ht="15.75" customHeight="1" thickBot="1" x14ac:dyDescent="0.3">
      <c r="B73" s="217"/>
      <c r="C73" s="128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129"/>
      <c r="BE73" s="129"/>
      <c r="BF73" s="129"/>
      <c r="BG73" s="129"/>
      <c r="BH73" s="129"/>
      <c r="BI73" s="129"/>
      <c r="BJ73" s="129"/>
      <c r="BK73" s="129"/>
      <c r="BL73" s="129"/>
      <c r="BM73" s="129"/>
      <c r="BN73" s="129"/>
      <c r="BO73" s="129"/>
      <c r="BP73" s="129"/>
      <c r="BQ73" s="129"/>
      <c r="BR73" s="129"/>
      <c r="BS73" s="129"/>
      <c r="BT73" s="129"/>
      <c r="BU73" s="129"/>
      <c r="BV73" s="129"/>
      <c r="BW73" s="129"/>
      <c r="BX73" s="129"/>
      <c r="BY73" s="129"/>
      <c r="BZ73" s="129"/>
      <c r="CA73" s="129"/>
      <c r="CB73" s="129"/>
      <c r="CC73" s="129"/>
      <c r="CD73" s="129"/>
      <c r="CE73" s="129"/>
      <c r="CF73" s="129"/>
      <c r="CG73" s="129"/>
      <c r="CH73" s="129"/>
      <c r="CI73" s="129"/>
      <c r="CJ73" s="129"/>
      <c r="CK73" s="129"/>
      <c r="CL73" s="129"/>
      <c r="CM73" s="129"/>
      <c r="CN73" s="129"/>
      <c r="CO73" s="129"/>
      <c r="CP73" s="129"/>
      <c r="CQ73" s="129"/>
      <c r="CR73" s="129"/>
      <c r="CS73" s="129"/>
      <c r="CT73" s="129"/>
      <c r="CU73" s="129"/>
      <c r="CV73" s="129"/>
      <c r="CW73" s="129"/>
      <c r="CX73" s="129"/>
      <c r="CY73" s="129"/>
      <c r="CZ73" s="129"/>
      <c r="DA73" s="129"/>
      <c r="DB73" s="129"/>
      <c r="DC73" s="129"/>
      <c r="DD73" s="129"/>
      <c r="DE73" s="129"/>
      <c r="DF73" s="129"/>
      <c r="DG73" s="129"/>
      <c r="DH73" s="129"/>
      <c r="DI73" s="129"/>
      <c r="DJ73" s="129"/>
      <c r="DK73" s="129"/>
      <c r="DL73" s="129"/>
      <c r="DM73" s="129"/>
      <c r="DN73" s="129"/>
      <c r="DO73" s="129"/>
      <c r="DP73" s="129"/>
      <c r="DQ73" s="129"/>
      <c r="DR73" s="129"/>
      <c r="DS73" s="130"/>
    </row>
    <row r="74" spans="2:125" ht="30" x14ac:dyDescent="0.25">
      <c r="B74" s="131" t="str">
        <f>Base!I61</f>
        <v>601 réunion avec monsieur C.Egger, CdP</v>
      </c>
      <c r="C74" s="158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68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5"/>
      <c r="AT74" s="45"/>
      <c r="AU74" s="45"/>
      <c r="AV74" s="45"/>
      <c r="AW74" s="45"/>
      <c r="AX74" s="45"/>
      <c r="AY74" s="45"/>
      <c r="AZ74" s="45"/>
      <c r="BA74" s="45"/>
      <c r="BB74" s="45"/>
      <c r="BC74" s="114"/>
      <c r="BD74" s="115"/>
      <c r="BE74" s="115"/>
      <c r="BF74" s="115"/>
      <c r="BG74" s="115"/>
      <c r="BH74" s="115"/>
      <c r="BI74" s="115"/>
      <c r="BJ74" s="115"/>
      <c r="BK74" s="115"/>
      <c r="BL74" s="115"/>
      <c r="BM74" s="115"/>
      <c r="BN74" s="115"/>
      <c r="BO74" s="116"/>
      <c r="BP74" s="116"/>
      <c r="BQ74" s="116"/>
      <c r="BR74" s="116"/>
      <c r="BS74" s="116"/>
      <c r="BT74" s="116"/>
      <c r="BU74" s="116"/>
      <c r="BV74" s="116"/>
      <c r="BW74" s="116"/>
      <c r="BX74" s="116"/>
      <c r="BY74" s="116"/>
      <c r="BZ74" s="116"/>
      <c r="CA74" s="116"/>
      <c r="CB74" s="116"/>
      <c r="CC74" s="116"/>
      <c r="CD74" s="116"/>
      <c r="CE74" s="116"/>
      <c r="CF74" s="192"/>
      <c r="CG74" s="46"/>
      <c r="CH74" s="46"/>
      <c r="CI74" s="46"/>
      <c r="CJ74" s="46"/>
      <c r="CK74" s="45"/>
      <c r="CL74" s="45"/>
      <c r="CM74" s="45"/>
      <c r="CN74" s="45"/>
      <c r="CO74" s="45"/>
      <c r="CP74" s="45"/>
      <c r="CQ74" s="45"/>
      <c r="CR74" s="45"/>
      <c r="CS74" s="45"/>
      <c r="CT74" s="45"/>
      <c r="CU74" s="45"/>
      <c r="CV74" s="45"/>
      <c r="CW74" s="45"/>
      <c r="CX74" s="45"/>
      <c r="CY74" s="45"/>
      <c r="CZ74" s="45"/>
      <c r="DA74" s="45"/>
      <c r="DB74" s="45"/>
      <c r="DC74" s="68"/>
      <c r="DD74" s="46"/>
      <c r="DE74" s="46"/>
      <c r="DF74" s="46"/>
      <c r="DG74" s="46"/>
      <c r="DH74" s="46"/>
      <c r="DI74" s="46"/>
      <c r="DJ74" s="46"/>
      <c r="DK74" s="46"/>
      <c r="DL74" s="46"/>
      <c r="DM74" s="46"/>
      <c r="DN74" s="46"/>
      <c r="DO74" s="45"/>
      <c r="DP74" s="45"/>
      <c r="DQ74" s="45"/>
      <c r="DR74" s="45"/>
      <c r="DS74" s="63"/>
    </row>
    <row r="75" spans="2:125" ht="30" x14ac:dyDescent="0.25">
      <c r="B75" s="132" t="str">
        <f>Base!I62</f>
        <v>602 réunion avec monsieur G.Gruaz, expert 1</v>
      </c>
      <c r="C75" s="159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65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65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61"/>
      <c r="CG75" s="40"/>
      <c r="CH75" s="40"/>
      <c r="CI75" s="40"/>
      <c r="CJ75" s="40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65"/>
      <c r="DD75" s="40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39"/>
      <c r="DP75" s="39"/>
      <c r="DQ75" s="39"/>
      <c r="DR75" s="39"/>
      <c r="DS75" s="61"/>
    </row>
    <row r="76" spans="2:125" ht="15" customHeight="1" x14ac:dyDescent="0.25">
      <c r="B76" s="132" t="str">
        <f>Base!I63</f>
        <v>603 réunion avec monsieur A.Roy, expert 2</v>
      </c>
      <c r="C76" s="65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65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65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61"/>
      <c r="CG76" s="40"/>
      <c r="CH76" s="40"/>
      <c r="CI76" s="40"/>
      <c r="CJ76" s="40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65"/>
      <c r="DD76" s="40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39"/>
      <c r="DP76" s="39"/>
      <c r="DQ76" s="39"/>
      <c r="DR76" s="39"/>
      <c r="DS76" s="61"/>
    </row>
    <row r="77" spans="2:125" ht="30" x14ac:dyDescent="0.25">
      <c r="B77" s="132" t="str">
        <f>Base!I64</f>
        <v>604 réunion avec une personne extérieure</v>
      </c>
      <c r="C77" s="65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65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65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61"/>
      <c r="CG77" s="40"/>
      <c r="CH77" s="40"/>
      <c r="CI77" s="40"/>
      <c r="CJ77" s="40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65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39"/>
      <c r="DP77" s="39"/>
      <c r="DQ77" s="39"/>
      <c r="DR77" s="39"/>
      <c r="DS77" s="61"/>
    </row>
    <row r="78" spans="2:125" x14ac:dyDescent="0.25">
      <c r="B78" s="132" t="str">
        <f>Base!I65</f>
        <v>605 -</v>
      </c>
      <c r="C78" s="65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65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65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61"/>
      <c r="CG78" s="40"/>
      <c r="CH78" s="40"/>
      <c r="CI78" s="40"/>
      <c r="CJ78" s="40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65"/>
      <c r="DD78" s="40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39"/>
      <c r="DP78" s="39"/>
      <c r="DQ78" s="39"/>
      <c r="DR78" s="39"/>
      <c r="DS78" s="61"/>
    </row>
    <row r="79" spans="2:125" ht="15.75" thickBot="1" x14ac:dyDescent="0.3">
      <c r="B79" s="133" t="str">
        <f>Base!I66</f>
        <v>606 -</v>
      </c>
      <c r="C79" s="66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  <c r="AG79" s="66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59"/>
      <c r="AT79" s="59"/>
      <c r="AU79" s="59"/>
      <c r="AV79" s="59"/>
      <c r="AW79" s="59"/>
      <c r="AX79" s="59"/>
      <c r="AY79" s="59"/>
      <c r="AZ79" s="59"/>
      <c r="BA79" s="59"/>
      <c r="BB79" s="59"/>
      <c r="BC79" s="66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64"/>
      <c r="CG79" s="60"/>
      <c r="CH79" s="60"/>
      <c r="CI79" s="60"/>
      <c r="CJ79" s="60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66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59"/>
      <c r="DP79" s="59"/>
      <c r="DQ79" s="59"/>
      <c r="DR79" s="59"/>
      <c r="DS79" s="64"/>
    </row>
    <row r="80" spans="2:125" x14ac:dyDescent="0.25">
      <c r="DN80" s="141"/>
      <c r="DO80" s="141"/>
      <c r="DP80" s="141"/>
      <c r="DQ80" s="141"/>
      <c r="DR80" s="141"/>
      <c r="DS80" s="141"/>
      <c r="DT80" s="34"/>
      <c r="DU80" s="34"/>
    </row>
    <row r="81" spans="3:125" x14ac:dyDescent="0.25">
      <c r="C81" s="152"/>
      <c r="D81" s="40"/>
      <c r="G81" s="215" t="s">
        <v>76</v>
      </c>
      <c r="H81" s="215"/>
      <c r="I81" s="215"/>
      <c r="J81" s="215"/>
      <c r="K81" s="215"/>
      <c r="L81" s="215"/>
      <c r="M81" s="215"/>
      <c r="N81" s="215"/>
      <c r="O81" s="215"/>
      <c r="P81" s="215"/>
      <c r="Q81" s="215"/>
      <c r="R81" s="215"/>
      <c r="S81" s="215"/>
      <c r="T81" s="215"/>
      <c r="U81" s="215"/>
      <c r="V81" s="215"/>
      <c r="W81" s="215"/>
      <c r="X81" s="215"/>
      <c r="Y81" s="215"/>
      <c r="Z81" s="215"/>
      <c r="AA81" s="215"/>
      <c r="AB81" s="215"/>
      <c r="AC81" s="215"/>
      <c r="AD81" s="215"/>
      <c r="AE81" s="215"/>
      <c r="AF81" s="215"/>
      <c r="DT81" s="34"/>
      <c r="DU81" s="34"/>
    </row>
    <row r="82" spans="3:125" x14ac:dyDescent="0.25">
      <c r="DT82" s="34"/>
      <c r="DU82" s="34"/>
    </row>
    <row r="83" spans="3:125" x14ac:dyDescent="0.25">
      <c r="D83" s="154"/>
      <c r="G83" s="215" t="s">
        <v>77</v>
      </c>
      <c r="H83" s="215"/>
      <c r="I83" s="215"/>
      <c r="J83" s="215"/>
      <c r="K83" s="215"/>
      <c r="L83" s="215"/>
      <c r="M83" s="215"/>
      <c r="N83" s="215"/>
      <c r="O83" s="215"/>
      <c r="P83" s="215"/>
      <c r="Q83" s="215"/>
      <c r="R83" s="215"/>
      <c r="S83" s="215"/>
      <c r="T83" s="215"/>
      <c r="U83" s="215"/>
      <c r="V83" s="215"/>
      <c r="W83" s="215"/>
      <c r="X83" s="215"/>
      <c r="Y83" s="215"/>
      <c r="Z83" s="215"/>
      <c r="AA83" s="215"/>
      <c r="AB83" s="215"/>
      <c r="AC83" s="215"/>
      <c r="AD83" s="215"/>
      <c r="AE83" s="215"/>
      <c r="AF83" s="215"/>
      <c r="DT83" s="34"/>
      <c r="DU83" s="34"/>
    </row>
    <row r="84" spans="3:125" x14ac:dyDescent="0.25">
      <c r="DT84" s="34"/>
      <c r="DU84" s="34"/>
    </row>
    <row r="85" spans="3:125" x14ac:dyDescent="0.25">
      <c r="DT85" s="34"/>
      <c r="DU85" s="34"/>
    </row>
    <row r="86" spans="3:125" x14ac:dyDescent="0.25">
      <c r="DT86" s="34"/>
      <c r="DU86" s="34"/>
    </row>
    <row r="87" spans="3:125" x14ac:dyDescent="0.25">
      <c r="DT87" s="34"/>
      <c r="DU87" s="34"/>
    </row>
    <row r="88" spans="3:125" x14ac:dyDescent="0.25">
      <c r="DT88" s="34"/>
      <c r="DU88" s="34"/>
    </row>
    <row r="89" spans="3:125" x14ac:dyDescent="0.25">
      <c r="DT89" s="34"/>
      <c r="DU89" s="34"/>
    </row>
    <row r="90" spans="3:125" x14ac:dyDescent="0.25">
      <c r="DT90" s="34"/>
      <c r="DU90" s="34"/>
    </row>
    <row r="91" spans="3:125" x14ac:dyDescent="0.25">
      <c r="DT91" s="34"/>
      <c r="DU91" s="34"/>
    </row>
    <row r="92" spans="3:125" x14ac:dyDescent="0.25">
      <c r="DT92" s="34"/>
      <c r="DU92" s="34"/>
    </row>
    <row r="93" spans="3:125" x14ac:dyDescent="0.25">
      <c r="DT93" s="34"/>
      <c r="DU93" s="34"/>
    </row>
  </sheetData>
  <mergeCells count="31">
    <mergeCell ref="B2:DS2"/>
    <mergeCell ref="G83:AF83"/>
    <mergeCell ref="G81:AF81"/>
    <mergeCell ref="B72:B73"/>
    <mergeCell ref="DP3:DS3"/>
    <mergeCell ref="CG3:CK3"/>
    <mergeCell ref="CL3:CT3"/>
    <mergeCell ref="CU3:DB3"/>
    <mergeCell ref="DC3:DJ3"/>
    <mergeCell ref="DK3:DO3"/>
    <mergeCell ref="BC3:BJ3"/>
    <mergeCell ref="BK3:BO3"/>
    <mergeCell ref="BP3:BX3"/>
    <mergeCell ref="BY3:CF3"/>
    <mergeCell ref="BC4:CF4"/>
    <mergeCell ref="AO3:AS3"/>
    <mergeCell ref="AT3:BB3"/>
    <mergeCell ref="C3:J3"/>
    <mergeCell ref="K3:O3"/>
    <mergeCell ref="P3:X3"/>
    <mergeCell ref="Y3:AF3"/>
    <mergeCell ref="AG3:AN3"/>
    <mergeCell ref="DC4:DS4"/>
    <mergeCell ref="B56:B57"/>
    <mergeCell ref="B64:B65"/>
    <mergeCell ref="C4:AF4"/>
    <mergeCell ref="CG4:DB4"/>
    <mergeCell ref="B13:B14"/>
    <mergeCell ref="B5:B6"/>
    <mergeCell ref="B31:B32"/>
    <mergeCell ref="AG4:BB4"/>
  </mergeCells>
  <pageMargins left="0.23622047244094491" right="0.23622047244094491" top="0.74803149606299213" bottom="0.74803149606299213" header="0.31496062992125984" footer="0.31496062992125984"/>
  <pageSetup paperSize="9" scale="57" fitToHeight="0" orientation="landscape" r:id="rId1"/>
  <headerFooter>
    <oddHeader>&amp;LPaola Costa&amp;CPlanification initiale&amp;RTPI 2021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4" tint="0.79998168889431442"/>
    <pageSetUpPr fitToPage="1"/>
  </sheetPr>
  <dimension ref="B1:H59"/>
  <sheetViews>
    <sheetView showGridLines="0" tabSelected="1" topLeftCell="A4" zoomScale="85" zoomScaleNormal="85" workbookViewId="0">
      <selection activeCell="E23" sqref="E23"/>
    </sheetView>
  </sheetViews>
  <sheetFormatPr baseColWidth="10" defaultColWidth="11.42578125" defaultRowHeight="15" x14ac:dyDescent="0.25"/>
  <cols>
    <col min="1" max="1" width="2" style="17" customWidth="1"/>
    <col min="2" max="2" width="10.28515625" style="103" bestFit="1" customWidth="1"/>
    <col min="3" max="3" width="8.7109375" style="19" hidden="1" customWidth="1"/>
    <col min="4" max="4" width="32" style="19" customWidth="1"/>
    <col min="5" max="5" width="14.85546875" style="19" customWidth="1"/>
    <col min="6" max="6" width="12" style="19" customWidth="1"/>
    <col min="7" max="7" width="9.7109375" style="19" customWidth="1"/>
    <col min="8" max="8" width="85.7109375" style="22" customWidth="1"/>
    <col min="9" max="16384" width="11.42578125" style="17"/>
  </cols>
  <sheetData>
    <row r="1" spans="2:8" x14ac:dyDescent="0.25">
      <c r="C1" s="18" t="s">
        <v>2</v>
      </c>
      <c r="D1" s="218" t="str">
        <f>CONCATENATE(Base!C6," ",Base!D6)</f>
        <v>Costa Paola</v>
      </c>
      <c r="E1" s="218"/>
      <c r="G1" s="20" t="s">
        <v>29</v>
      </c>
      <c r="H1" s="151">
        <f ca="1">TODAY()</f>
        <v>44320</v>
      </c>
    </row>
    <row r="2" spans="2:8" ht="42.75" customHeight="1" thickBot="1" x14ac:dyDescent="0.3">
      <c r="B2" s="219" t="s">
        <v>10</v>
      </c>
      <c r="C2" s="219"/>
      <c r="D2" s="219"/>
      <c r="E2" s="219"/>
      <c r="F2" s="219"/>
      <c r="G2" s="219"/>
      <c r="H2" s="219"/>
    </row>
    <row r="3" spans="2:8" s="102" customFormat="1" ht="15.75" thickBot="1" x14ac:dyDescent="0.3">
      <c r="B3" s="104" t="s">
        <v>0</v>
      </c>
      <c r="C3" s="99" t="s">
        <v>9</v>
      </c>
      <c r="D3" s="99" t="s">
        <v>41</v>
      </c>
      <c r="E3" s="100" t="s">
        <v>30</v>
      </c>
      <c r="F3" s="100" t="s">
        <v>31</v>
      </c>
      <c r="G3" s="106" t="s">
        <v>32</v>
      </c>
      <c r="H3" s="101" t="s">
        <v>1</v>
      </c>
    </row>
    <row r="4" spans="2:8" ht="30" x14ac:dyDescent="0.25">
      <c r="B4" s="148">
        <v>44319</v>
      </c>
      <c r="C4" s="110">
        <f>IF(ISBLANK(B4),"",_xlfn.ISOWEEKNUM(B4))</f>
        <v>18</v>
      </c>
      <c r="D4" s="21" t="s">
        <v>68</v>
      </c>
      <c r="E4" s="177">
        <v>0.37152777777777773</v>
      </c>
      <c r="F4" s="175">
        <v>0.3888888888888889</v>
      </c>
      <c r="G4" s="107">
        <f>F4-E4</f>
        <v>1.736111111111116E-2</v>
      </c>
      <c r="H4" s="108" t="s">
        <v>109</v>
      </c>
    </row>
    <row r="5" spans="2:8" ht="45" x14ac:dyDescent="0.25">
      <c r="B5" s="148">
        <v>44319</v>
      </c>
      <c r="C5" s="110">
        <f t="shared" ref="C5:C52" si="0">IF(ISBLANK(B5),"",_xlfn.ISOWEEKNUM(B5))</f>
        <v>18</v>
      </c>
      <c r="D5" s="21" t="s">
        <v>67</v>
      </c>
      <c r="E5" s="176">
        <v>0.3888888888888889</v>
      </c>
      <c r="F5" s="175">
        <v>0.39930555555555558</v>
      </c>
      <c r="G5" s="107">
        <f t="shared" ref="G5:G52" si="1">F5-E5</f>
        <v>1.0416666666666685E-2</v>
      </c>
      <c r="H5" s="108" t="s">
        <v>110</v>
      </c>
    </row>
    <row r="6" spans="2:8" ht="30" x14ac:dyDescent="0.25">
      <c r="B6" s="148">
        <v>44319</v>
      </c>
      <c r="C6" s="110">
        <f t="shared" si="0"/>
        <v>18</v>
      </c>
      <c r="D6" s="21" t="s">
        <v>102</v>
      </c>
      <c r="E6" s="175">
        <v>0.41180555555555554</v>
      </c>
      <c r="F6" s="175">
        <v>0.4548611111111111</v>
      </c>
      <c r="G6" s="107">
        <f t="shared" si="1"/>
        <v>4.3055555555555569E-2</v>
      </c>
      <c r="H6" s="108" t="s">
        <v>112</v>
      </c>
    </row>
    <row r="7" spans="2:8" x14ac:dyDescent="0.25">
      <c r="B7" s="148">
        <v>44319</v>
      </c>
      <c r="C7" s="110">
        <f t="shared" si="0"/>
        <v>18</v>
      </c>
      <c r="D7" s="21" t="s">
        <v>54</v>
      </c>
      <c r="E7" s="175">
        <v>0.4548611111111111</v>
      </c>
      <c r="F7" s="175">
        <v>0.45833333333333331</v>
      </c>
      <c r="G7" s="107">
        <f t="shared" si="1"/>
        <v>3.4722222222222099E-3</v>
      </c>
      <c r="H7" s="108" t="s">
        <v>113</v>
      </c>
    </row>
    <row r="8" spans="2:8" x14ac:dyDescent="0.25">
      <c r="B8" s="148">
        <v>44319</v>
      </c>
      <c r="C8" s="110">
        <f t="shared" si="0"/>
        <v>18</v>
      </c>
      <c r="D8" s="21" t="s">
        <v>57</v>
      </c>
      <c r="E8" s="175">
        <v>0.45833333333333331</v>
      </c>
      <c r="F8" s="175">
        <v>0.48958333333333331</v>
      </c>
      <c r="G8" s="107">
        <f t="shared" si="1"/>
        <v>3.125E-2</v>
      </c>
      <c r="H8" s="108" t="s">
        <v>114</v>
      </c>
    </row>
    <row r="9" spans="2:8" ht="45" x14ac:dyDescent="0.25">
      <c r="B9" s="148">
        <v>44319</v>
      </c>
      <c r="C9" s="110">
        <f t="shared" si="0"/>
        <v>18</v>
      </c>
      <c r="D9" s="21" t="s">
        <v>80</v>
      </c>
      <c r="E9" s="175">
        <v>0.48958333333333331</v>
      </c>
      <c r="F9" s="175">
        <v>0.51041666666666663</v>
      </c>
      <c r="G9" s="107">
        <f t="shared" si="1"/>
        <v>2.0833333333333315E-2</v>
      </c>
      <c r="H9" s="108" t="s">
        <v>117</v>
      </c>
    </row>
    <row r="10" spans="2:8" ht="45" x14ac:dyDescent="0.25">
      <c r="B10" s="148">
        <v>44319</v>
      </c>
      <c r="C10" s="110">
        <f t="shared" si="0"/>
        <v>18</v>
      </c>
      <c r="D10" s="21" t="s">
        <v>106</v>
      </c>
      <c r="E10" s="175">
        <v>0.5625</v>
      </c>
      <c r="F10" s="175">
        <v>0.57986111111111105</v>
      </c>
      <c r="G10" s="107">
        <f t="shared" si="1"/>
        <v>1.7361111111111049E-2</v>
      </c>
      <c r="H10" s="108" t="s">
        <v>118</v>
      </c>
    </row>
    <row r="11" spans="2:8" x14ac:dyDescent="0.25">
      <c r="B11" s="148">
        <v>44319</v>
      </c>
      <c r="C11" s="110">
        <f t="shared" si="0"/>
        <v>18</v>
      </c>
      <c r="D11" s="21" t="s">
        <v>83</v>
      </c>
      <c r="E11" s="175">
        <v>0.57986111111111105</v>
      </c>
      <c r="F11" s="175">
        <v>0.59722222222222221</v>
      </c>
      <c r="G11" s="107">
        <f t="shared" si="1"/>
        <v>1.736111111111116E-2</v>
      </c>
      <c r="H11" s="108" t="s">
        <v>119</v>
      </c>
    </row>
    <row r="12" spans="2:8" ht="30" x14ac:dyDescent="0.25">
      <c r="B12" s="148">
        <v>44319</v>
      </c>
      <c r="C12" s="110">
        <f t="shared" si="0"/>
        <v>18</v>
      </c>
      <c r="D12" s="21" t="s">
        <v>103</v>
      </c>
      <c r="E12" s="175">
        <v>0.59722222222222221</v>
      </c>
      <c r="F12" s="175">
        <v>0.61111111111111105</v>
      </c>
      <c r="G12" s="107">
        <f t="shared" si="1"/>
        <v>1.388888888888884E-2</v>
      </c>
      <c r="H12" s="108" t="s">
        <v>120</v>
      </c>
    </row>
    <row r="13" spans="2:8" ht="30" x14ac:dyDescent="0.25">
      <c r="B13" s="148">
        <v>44319</v>
      </c>
      <c r="C13" s="110">
        <f t="shared" si="0"/>
        <v>18</v>
      </c>
      <c r="D13" s="21" t="s">
        <v>106</v>
      </c>
      <c r="E13" s="175">
        <v>0.61111111111111105</v>
      </c>
      <c r="F13" s="175">
        <v>0.62847222222222221</v>
      </c>
      <c r="G13" s="107">
        <f t="shared" si="1"/>
        <v>1.736111111111116E-2</v>
      </c>
      <c r="H13" s="108" t="s">
        <v>121</v>
      </c>
    </row>
    <row r="14" spans="2:8" x14ac:dyDescent="0.25">
      <c r="B14" s="148">
        <v>44319</v>
      </c>
      <c r="C14" s="110">
        <f t="shared" si="0"/>
        <v>18</v>
      </c>
      <c r="D14" s="21" t="s">
        <v>58</v>
      </c>
      <c r="E14" s="175">
        <v>0.64236111111111105</v>
      </c>
      <c r="F14" s="175">
        <v>0.65972222222222221</v>
      </c>
      <c r="G14" s="107">
        <f t="shared" si="1"/>
        <v>1.736111111111116E-2</v>
      </c>
      <c r="H14" s="108" t="s">
        <v>122</v>
      </c>
    </row>
    <row r="15" spans="2:8" ht="30" x14ac:dyDescent="0.25">
      <c r="B15" s="148">
        <v>44319</v>
      </c>
      <c r="C15" s="110">
        <f t="shared" si="0"/>
        <v>18</v>
      </c>
      <c r="D15" s="21" t="s">
        <v>106</v>
      </c>
      <c r="E15" s="175">
        <v>0.65972222222222221</v>
      </c>
      <c r="F15" s="175">
        <v>0.67708333333333337</v>
      </c>
      <c r="G15" s="107">
        <f t="shared" si="1"/>
        <v>1.736111111111116E-2</v>
      </c>
      <c r="H15" s="108" t="s">
        <v>123</v>
      </c>
    </row>
    <row r="16" spans="2:8" x14ac:dyDescent="0.25">
      <c r="B16" s="148">
        <v>44319</v>
      </c>
      <c r="C16" s="110">
        <f t="shared" si="0"/>
        <v>18</v>
      </c>
      <c r="D16" s="21" t="s">
        <v>75</v>
      </c>
      <c r="E16" s="175">
        <v>0.67708333333333337</v>
      </c>
      <c r="F16" s="175">
        <v>0.70833333333333337</v>
      </c>
      <c r="G16" s="107">
        <f t="shared" si="1"/>
        <v>3.125E-2</v>
      </c>
      <c r="H16" s="108" t="s">
        <v>126</v>
      </c>
    </row>
    <row r="17" spans="2:8" ht="30" x14ac:dyDescent="0.25">
      <c r="B17" s="148">
        <v>44320</v>
      </c>
      <c r="C17" s="110">
        <f t="shared" si="0"/>
        <v>18</v>
      </c>
      <c r="D17" s="21" t="s">
        <v>54</v>
      </c>
      <c r="E17" s="175">
        <v>0.40972222222222227</v>
      </c>
      <c r="F17" s="175">
        <v>0.41666666666666669</v>
      </c>
      <c r="G17" s="107">
        <f t="shared" si="1"/>
        <v>6.9444444444444198E-3</v>
      </c>
      <c r="H17" s="108" t="s">
        <v>125</v>
      </c>
    </row>
    <row r="18" spans="2:8" x14ac:dyDescent="0.25">
      <c r="B18" s="148">
        <v>44320</v>
      </c>
      <c r="C18" s="110">
        <f t="shared" si="0"/>
        <v>18</v>
      </c>
      <c r="D18" s="21"/>
      <c r="E18" s="175"/>
      <c r="F18" s="175"/>
      <c r="G18" s="107">
        <f t="shared" si="1"/>
        <v>0</v>
      </c>
      <c r="H18" s="108"/>
    </row>
    <row r="19" spans="2:8" x14ac:dyDescent="0.25">
      <c r="B19" s="148"/>
      <c r="C19" s="110" t="str">
        <f t="shared" si="0"/>
        <v/>
      </c>
      <c r="D19" s="21"/>
      <c r="E19" s="175"/>
      <c r="F19" s="175"/>
      <c r="G19" s="107">
        <f t="shared" si="1"/>
        <v>0</v>
      </c>
      <c r="H19" s="108"/>
    </row>
    <row r="20" spans="2:8" x14ac:dyDescent="0.25">
      <c r="B20" s="148"/>
      <c r="C20" s="110" t="str">
        <f t="shared" si="0"/>
        <v/>
      </c>
      <c r="D20" s="21"/>
      <c r="E20" s="175"/>
      <c r="F20" s="175"/>
      <c r="G20" s="107">
        <f t="shared" si="1"/>
        <v>0</v>
      </c>
      <c r="H20" s="108"/>
    </row>
    <row r="21" spans="2:8" x14ac:dyDescent="0.25">
      <c r="B21" s="148"/>
      <c r="C21" s="110" t="str">
        <f t="shared" si="0"/>
        <v/>
      </c>
      <c r="D21" s="21"/>
      <c r="E21" s="175"/>
      <c r="F21" s="175"/>
      <c r="G21" s="107">
        <f t="shared" si="1"/>
        <v>0</v>
      </c>
      <c r="H21" s="108"/>
    </row>
    <row r="22" spans="2:8" x14ac:dyDescent="0.25">
      <c r="B22" s="148"/>
      <c r="C22" s="110" t="str">
        <f t="shared" si="0"/>
        <v/>
      </c>
      <c r="D22" s="21"/>
      <c r="E22" s="175"/>
      <c r="F22" s="175"/>
      <c r="G22" s="107">
        <f t="shared" si="1"/>
        <v>0</v>
      </c>
      <c r="H22" s="108"/>
    </row>
    <row r="23" spans="2:8" x14ac:dyDescent="0.25">
      <c r="B23" s="148"/>
      <c r="C23" s="110" t="str">
        <f t="shared" si="0"/>
        <v/>
      </c>
      <c r="D23" s="21"/>
      <c r="E23" s="175"/>
      <c r="F23" s="175"/>
      <c r="G23" s="107">
        <f t="shared" si="1"/>
        <v>0</v>
      </c>
      <c r="H23" s="108"/>
    </row>
    <row r="24" spans="2:8" x14ac:dyDescent="0.25">
      <c r="B24" s="148"/>
      <c r="C24" s="110" t="str">
        <f t="shared" si="0"/>
        <v/>
      </c>
      <c r="D24" s="21"/>
      <c r="E24" s="175"/>
      <c r="F24" s="175"/>
      <c r="G24" s="107">
        <f t="shared" si="1"/>
        <v>0</v>
      </c>
      <c r="H24" s="108"/>
    </row>
    <row r="25" spans="2:8" x14ac:dyDescent="0.25">
      <c r="B25" s="148"/>
      <c r="C25" s="110" t="str">
        <f t="shared" si="0"/>
        <v/>
      </c>
      <c r="D25" s="21"/>
      <c r="E25" s="175"/>
      <c r="F25" s="175"/>
      <c r="G25" s="107">
        <f t="shared" si="1"/>
        <v>0</v>
      </c>
      <c r="H25" s="108"/>
    </row>
    <row r="26" spans="2:8" x14ac:dyDescent="0.25">
      <c r="B26" s="148"/>
      <c r="C26" s="110" t="str">
        <f t="shared" si="0"/>
        <v/>
      </c>
      <c r="D26" s="21"/>
      <c r="E26" s="175"/>
      <c r="F26" s="175"/>
      <c r="G26" s="107">
        <f t="shared" si="1"/>
        <v>0</v>
      </c>
      <c r="H26" s="108"/>
    </row>
    <row r="27" spans="2:8" x14ac:dyDescent="0.25">
      <c r="B27" s="148"/>
      <c r="C27" s="110" t="str">
        <f t="shared" si="0"/>
        <v/>
      </c>
      <c r="D27" s="21"/>
      <c r="E27" s="175"/>
      <c r="F27" s="175"/>
      <c r="G27" s="107">
        <f t="shared" si="1"/>
        <v>0</v>
      </c>
      <c r="H27" s="108"/>
    </row>
    <row r="28" spans="2:8" x14ac:dyDescent="0.25">
      <c r="B28" s="148"/>
      <c r="C28" s="110" t="str">
        <f t="shared" si="0"/>
        <v/>
      </c>
      <c r="D28" s="21"/>
      <c r="E28" s="175"/>
      <c r="F28" s="175"/>
      <c r="G28" s="107">
        <f t="shared" si="1"/>
        <v>0</v>
      </c>
      <c r="H28" s="108"/>
    </row>
    <row r="29" spans="2:8" x14ac:dyDescent="0.25">
      <c r="B29" s="148"/>
      <c r="C29" s="110" t="str">
        <f t="shared" si="0"/>
        <v/>
      </c>
      <c r="D29" s="21"/>
      <c r="E29" s="175"/>
      <c r="F29" s="175"/>
      <c r="G29" s="107">
        <f t="shared" si="1"/>
        <v>0</v>
      </c>
      <c r="H29" s="108"/>
    </row>
    <row r="30" spans="2:8" x14ac:dyDescent="0.25">
      <c r="B30" s="148"/>
      <c r="C30" s="110" t="str">
        <f t="shared" si="0"/>
        <v/>
      </c>
      <c r="D30" s="21"/>
      <c r="E30" s="175"/>
      <c r="F30" s="175"/>
      <c r="G30" s="107">
        <f t="shared" si="1"/>
        <v>0</v>
      </c>
      <c r="H30" s="108"/>
    </row>
    <row r="31" spans="2:8" x14ac:dyDescent="0.25">
      <c r="B31" s="148"/>
      <c r="C31" s="110" t="str">
        <f t="shared" si="0"/>
        <v/>
      </c>
      <c r="D31" s="21"/>
      <c r="E31" s="175"/>
      <c r="F31" s="175"/>
      <c r="G31" s="107">
        <f t="shared" si="1"/>
        <v>0</v>
      </c>
      <c r="H31" s="108"/>
    </row>
    <row r="32" spans="2:8" x14ac:dyDescent="0.25">
      <c r="B32" s="148"/>
      <c r="C32" s="110" t="str">
        <f t="shared" si="0"/>
        <v/>
      </c>
      <c r="D32" s="21"/>
      <c r="E32" s="175"/>
      <c r="F32" s="175"/>
      <c r="G32" s="107">
        <f t="shared" si="1"/>
        <v>0</v>
      </c>
      <c r="H32" s="108"/>
    </row>
    <row r="33" spans="2:8" x14ac:dyDescent="0.25">
      <c r="B33" s="148"/>
      <c r="C33" s="110" t="str">
        <f t="shared" si="0"/>
        <v/>
      </c>
      <c r="D33" s="21"/>
      <c r="E33" s="175"/>
      <c r="F33" s="175"/>
      <c r="G33" s="107">
        <f t="shared" si="1"/>
        <v>0</v>
      </c>
      <c r="H33" s="108"/>
    </row>
    <row r="34" spans="2:8" x14ac:dyDescent="0.25">
      <c r="B34" s="148"/>
      <c r="C34" s="110" t="str">
        <f t="shared" si="0"/>
        <v/>
      </c>
      <c r="D34" s="21"/>
      <c r="E34" s="175"/>
      <c r="F34" s="175"/>
      <c r="G34" s="107">
        <f t="shared" si="1"/>
        <v>0</v>
      </c>
      <c r="H34" s="108"/>
    </row>
    <row r="35" spans="2:8" x14ac:dyDescent="0.25">
      <c r="B35" s="148"/>
      <c r="C35" s="110" t="str">
        <f t="shared" si="0"/>
        <v/>
      </c>
      <c r="D35" s="21"/>
      <c r="E35" s="175"/>
      <c r="F35" s="175"/>
      <c r="G35" s="107">
        <f t="shared" si="1"/>
        <v>0</v>
      </c>
      <c r="H35" s="108"/>
    </row>
    <row r="36" spans="2:8" x14ac:dyDescent="0.25">
      <c r="B36" s="148"/>
      <c r="C36" s="110" t="str">
        <f t="shared" si="0"/>
        <v/>
      </c>
      <c r="D36" s="21"/>
      <c r="E36" s="175"/>
      <c r="F36" s="175"/>
      <c r="G36" s="107">
        <f t="shared" si="1"/>
        <v>0</v>
      </c>
      <c r="H36" s="108"/>
    </row>
    <row r="37" spans="2:8" x14ac:dyDescent="0.25">
      <c r="B37" s="148"/>
      <c r="C37" s="110" t="str">
        <f t="shared" si="0"/>
        <v/>
      </c>
      <c r="D37" s="21"/>
      <c r="E37" s="175"/>
      <c r="F37" s="175"/>
      <c r="G37" s="107">
        <f t="shared" si="1"/>
        <v>0</v>
      </c>
      <c r="H37" s="108"/>
    </row>
    <row r="38" spans="2:8" x14ac:dyDescent="0.25">
      <c r="B38" s="148"/>
      <c r="C38" s="110" t="str">
        <f t="shared" si="0"/>
        <v/>
      </c>
      <c r="D38" s="21"/>
      <c r="E38" s="175"/>
      <c r="F38" s="175"/>
      <c r="G38" s="107">
        <f t="shared" si="1"/>
        <v>0</v>
      </c>
      <c r="H38" s="108"/>
    </row>
    <row r="39" spans="2:8" x14ac:dyDescent="0.25">
      <c r="B39" s="148"/>
      <c r="C39" s="110" t="str">
        <f t="shared" si="0"/>
        <v/>
      </c>
      <c r="D39" s="21"/>
      <c r="E39" s="175"/>
      <c r="F39" s="175"/>
      <c r="G39" s="107">
        <f t="shared" si="1"/>
        <v>0</v>
      </c>
      <c r="H39" s="108"/>
    </row>
    <row r="40" spans="2:8" x14ac:dyDescent="0.25">
      <c r="B40" s="148"/>
      <c r="C40" s="110" t="str">
        <f t="shared" si="0"/>
        <v/>
      </c>
      <c r="D40" s="21"/>
      <c r="E40" s="175"/>
      <c r="F40" s="175"/>
      <c r="G40" s="107">
        <f t="shared" si="1"/>
        <v>0</v>
      </c>
      <c r="H40" s="108"/>
    </row>
    <row r="41" spans="2:8" x14ac:dyDescent="0.25">
      <c r="B41" s="148"/>
      <c r="C41" s="110" t="str">
        <f t="shared" si="0"/>
        <v/>
      </c>
      <c r="D41" s="21"/>
      <c r="E41" s="175"/>
      <c r="F41" s="175"/>
      <c r="G41" s="107">
        <f t="shared" si="1"/>
        <v>0</v>
      </c>
      <c r="H41" s="108"/>
    </row>
    <row r="42" spans="2:8" x14ac:dyDescent="0.25">
      <c r="B42" s="148"/>
      <c r="C42" s="110" t="str">
        <f t="shared" si="0"/>
        <v/>
      </c>
      <c r="D42" s="21"/>
      <c r="E42" s="175"/>
      <c r="F42" s="175"/>
      <c r="G42" s="107">
        <f t="shared" si="1"/>
        <v>0</v>
      </c>
      <c r="H42" s="108"/>
    </row>
    <row r="43" spans="2:8" x14ac:dyDescent="0.25">
      <c r="B43" s="148"/>
      <c r="C43" s="110" t="str">
        <f t="shared" si="0"/>
        <v/>
      </c>
      <c r="D43" s="21"/>
      <c r="E43" s="175"/>
      <c r="F43" s="175"/>
      <c r="G43" s="107">
        <f t="shared" si="1"/>
        <v>0</v>
      </c>
      <c r="H43" s="108"/>
    </row>
    <row r="44" spans="2:8" x14ac:dyDescent="0.25">
      <c r="B44" s="148"/>
      <c r="C44" s="110" t="str">
        <f t="shared" si="0"/>
        <v/>
      </c>
      <c r="D44" s="21"/>
      <c r="E44" s="175"/>
      <c r="F44" s="175"/>
      <c r="G44" s="107">
        <f t="shared" si="1"/>
        <v>0</v>
      </c>
      <c r="H44" s="108"/>
    </row>
    <row r="45" spans="2:8" x14ac:dyDescent="0.25">
      <c r="B45" s="148"/>
      <c r="C45" s="110" t="str">
        <f t="shared" si="0"/>
        <v/>
      </c>
      <c r="D45" s="21"/>
      <c r="E45" s="175"/>
      <c r="F45" s="175"/>
      <c r="G45" s="107">
        <f t="shared" si="1"/>
        <v>0</v>
      </c>
      <c r="H45" s="108"/>
    </row>
    <row r="46" spans="2:8" x14ac:dyDescent="0.25">
      <c r="B46" s="148"/>
      <c r="C46" s="110" t="str">
        <f t="shared" si="0"/>
        <v/>
      </c>
      <c r="D46" s="21"/>
      <c r="E46" s="175"/>
      <c r="F46" s="175"/>
      <c r="G46" s="107">
        <f t="shared" si="1"/>
        <v>0</v>
      </c>
      <c r="H46" s="108"/>
    </row>
    <row r="47" spans="2:8" x14ac:dyDescent="0.25">
      <c r="B47" s="148"/>
      <c r="C47" s="110" t="str">
        <f t="shared" si="0"/>
        <v/>
      </c>
      <c r="D47" s="21"/>
      <c r="E47" s="175"/>
      <c r="F47" s="175"/>
      <c r="G47" s="107">
        <f t="shared" si="1"/>
        <v>0</v>
      </c>
      <c r="H47" s="108"/>
    </row>
    <row r="48" spans="2:8" x14ac:dyDescent="0.25">
      <c r="B48" s="148"/>
      <c r="C48" s="110" t="str">
        <f t="shared" si="0"/>
        <v/>
      </c>
      <c r="D48" s="21"/>
      <c r="E48" s="175"/>
      <c r="F48" s="175"/>
      <c r="G48" s="107">
        <f t="shared" si="1"/>
        <v>0</v>
      </c>
      <c r="H48" s="108"/>
    </row>
    <row r="49" spans="2:8" x14ac:dyDescent="0.25">
      <c r="B49" s="148"/>
      <c r="C49" s="110" t="str">
        <f t="shared" si="0"/>
        <v/>
      </c>
      <c r="D49" s="21"/>
      <c r="E49" s="175"/>
      <c r="F49" s="175"/>
      <c r="G49" s="107">
        <f t="shared" si="1"/>
        <v>0</v>
      </c>
      <c r="H49" s="108"/>
    </row>
    <row r="50" spans="2:8" x14ac:dyDescent="0.25">
      <c r="B50" s="148"/>
      <c r="C50" s="110" t="str">
        <f t="shared" si="0"/>
        <v/>
      </c>
      <c r="D50" s="21"/>
      <c r="E50" s="175"/>
      <c r="F50" s="175"/>
      <c r="G50" s="107">
        <f t="shared" si="1"/>
        <v>0</v>
      </c>
      <c r="H50" s="108"/>
    </row>
    <row r="51" spans="2:8" x14ac:dyDescent="0.25">
      <c r="B51" s="148"/>
      <c r="C51" s="110" t="str">
        <f t="shared" si="0"/>
        <v/>
      </c>
      <c r="D51" s="21"/>
      <c r="E51" s="175"/>
      <c r="F51" s="175"/>
      <c r="G51" s="107">
        <f t="shared" si="1"/>
        <v>0</v>
      </c>
      <c r="H51" s="108"/>
    </row>
    <row r="52" spans="2:8" x14ac:dyDescent="0.25">
      <c r="B52" s="148"/>
      <c r="C52" s="110" t="str">
        <f t="shared" si="0"/>
        <v/>
      </c>
      <c r="D52" s="21"/>
      <c r="E52" s="175"/>
      <c r="F52" s="175"/>
      <c r="G52" s="107">
        <f t="shared" si="1"/>
        <v>0</v>
      </c>
      <c r="H52" s="108"/>
    </row>
    <row r="54" spans="2:8" ht="15" customHeight="1" x14ac:dyDescent="0.25">
      <c r="F54" s="149" t="s">
        <v>48</v>
      </c>
      <c r="G54" s="150">
        <f>SUM(G4:G52)</f>
        <v>0.26527777777777789</v>
      </c>
    </row>
    <row r="55" spans="2:8" ht="15" customHeight="1" x14ac:dyDescent="0.25">
      <c r="F55" s="149" t="s">
        <v>49</v>
      </c>
      <c r="G55" s="150">
        <f>SUMIF($C$4:$C$52,18,$G$4:$G$52)</f>
        <v>0.26527777777777789</v>
      </c>
    </row>
    <row r="56" spans="2:8" ht="15" customHeight="1" x14ac:dyDescent="0.25">
      <c r="F56" s="149" t="s">
        <v>50</v>
      </c>
      <c r="G56" s="150">
        <f>SUMIF($C$4:$C$52,19,$G$4:$G$52)</f>
        <v>0</v>
      </c>
    </row>
    <row r="57" spans="2:8" ht="15" customHeight="1" x14ac:dyDescent="0.25">
      <c r="F57" s="149" t="s">
        <v>51</v>
      </c>
      <c r="G57" s="150">
        <f>SUMIF($C$4:$C$52,20,$G$4:$G$52)</f>
        <v>0</v>
      </c>
    </row>
    <row r="58" spans="2:8" ht="15" customHeight="1" x14ac:dyDescent="0.25">
      <c r="F58" s="149" t="s">
        <v>52</v>
      </c>
      <c r="G58" s="150">
        <f>SUMIF($C$4:$C$52,21,$G$4:$G$52)</f>
        <v>0</v>
      </c>
    </row>
    <row r="59" spans="2:8" ht="15" customHeight="1" x14ac:dyDescent="0.25">
      <c r="F59" s="149" t="s">
        <v>53</v>
      </c>
      <c r="G59" s="150">
        <f>SUMIF($C$4:$C$52,22,$G$4:$G$52)</f>
        <v>0</v>
      </c>
    </row>
  </sheetData>
  <sheetProtection sheet="1" objects="1" scenarios="1"/>
  <mergeCells count="2">
    <mergeCell ref="D1:E1"/>
    <mergeCell ref="B2:H2"/>
  </mergeCells>
  <conditionalFormatting sqref="F1 E53:F53 F3:F4 E60:F1048576">
    <cfRule type="containsText" dxfId="11" priority="15" operator="containsText" text="En cours">
      <formula>NOT(ISERROR(SEARCH("En cours",E1)))</formula>
    </cfRule>
    <cfRule type="containsText" dxfId="10" priority="16" operator="containsText" text="Terminé">
      <formula>NOT(ISERROR(SEARCH("Terminé",E1)))</formula>
    </cfRule>
  </conditionalFormatting>
  <conditionalFormatting sqref="E5:F5">
    <cfRule type="containsText" dxfId="9" priority="7" operator="containsText" text="En cours">
      <formula>NOT(ISERROR(SEARCH("En cours",E5)))</formula>
    </cfRule>
    <cfRule type="containsText" dxfId="8" priority="8" operator="containsText" text="Terminé">
      <formula>NOT(ISERROR(SEARCH("Terminé",E5)))</formula>
    </cfRule>
  </conditionalFormatting>
  <conditionalFormatting sqref="E8:F52">
    <cfRule type="containsText" dxfId="7" priority="5" operator="containsText" text="En cours">
      <formula>NOT(ISERROR(SEARCH("En cours",E8)))</formula>
    </cfRule>
    <cfRule type="containsText" dxfId="6" priority="6" operator="containsText" text="Terminé">
      <formula>NOT(ISERROR(SEARCH("Terminé",E8)))</formula>
    </cfRule>
  </conditionalFormatting>
  <conditionalFormatting sqref="E6:F7">
    <cfRule type="containsText" dxfId="5" priority="3" operator="containsText" text="En cours">
      <formula>NOT(ISERROR(SEARCH("En cours",E6)))</formula>
    </cfRule>
    <cfRule type="containsText" dxfId="4" priority="4" operator="containsText" text="Terminé">
      <formula>NOT(ISERROR(SEARCH("Terminé",E6)))</formula>
    </cfRule>
  </conditionalFormatting>
  <conditionalFormatting sqref="E3">
    <cfRule type="containsText" dxfId="3" priority="1" operator="containsText" text="En cours">
      <formula>NOT(ISERROR(SEARCH("En cours",E3)))</formula>
    </cfRule>
    <cfRule type="containsText" dxfId="2" priority="2" operator="containsText" text="Terminé">
      <formula>NOT(ISERROR(SEARCH("Terminé",E3)))</formula>
    </cfRule>
  </conditionalFormatting>
  <dataValidations count="1">
    <dataValidation allowBlank="1" sqref="B61:B1048576 F54:F59 B1:B53"/>
  </dataValidation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>
    <oddFooter>Page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Base!$I$4:$I$66</xm:f>
          </x14:formula1>
          <xm:sqref>D4:D52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1DC7E"/>
    <pageSetUpPr fitToPage="1"/>
  </sheetPr>
  <dimension ref="B1:D66"/>
  <sheetViews>
    <sheetView showGridLines="0" topLeftCell="A34" zoomScale="85" zoomScaleNormal="85" workbookViewId="0">
      <selection activeCell="G22" sqref="G22"/>
    </sheetView>
  </sheetViews>
  <sheetFormatPr baseColWidth="10" defaultColWidth="11.42578125" defaultRowHeight="15" x14ac:dyDescent="0.25"/>
  <cols>
    <col min="1" max="1" width="2" style="17" customWidth="1"/>
    <col min="2" max="2" width="57.140625" style="22" customWidth="1"/>
    <col min="3" max="4" width="11.42578125" style="22" customWidth="1"/>
    <col min="5" max="16384" width="11.42578125" style="17"/>
  </cols>
  <sheetData>
    <row r="1" spans="2:4" ht="15" customHeight="1" x14ac:dyDescent="0.25">
      <c r="B1" s="20"/>
      <c r="C1" s="20"/>
      <c r="D1" s="23"/>
    </row>
    <row r="2" spans="2:4" ht="29.25" customHeight="1" thickBot="1" x14ac:dyDescent="0.3">
      <c r="B2" s="220" t="s">
        <v>46</v>
      </c>
      <c r="C2" s="220"/>
      <c r="D2" s="220"/>
    </row>
    <row r="3" spans="2:4" s="102" customFormat="1" x14ac:dyDescent="0.25">
      <c r="B3" s="138" t="s">
        <v>41</v>
      </c>
      <c r="C3" s="138" t="s">
        <v>32</v>
      </c>
      <c r="D3" s="109" t="s">
        <v>42</v>
      </c>
    </row>
    <row r="4" spans="2:4" x14ac:dyDescent="0.25">
      <c r="B4" s="144" t="str">
        <f>Base!I4</f>
        <v>101 planification initiale</v>
      </c>
      <c r="C4" s="139">
        <f>SUMIF(Journal!$D$4:$D$52,B4,Journal!$G$4:$G$52)</f>
        <v>3.125E-2</v>
      </c>
      <c r="D4" s="145" t="s">
        <v>111</v>
      </c>
    </row>
    <row r="5" spans="2:4" x14ac:dyDescent="0.25">
      <c r="B5" s="144" t="str">
        <f>Base!I5</f>
        <v>102 objectifs du projet</v>
      </c>
      <c r="C5" s="139">
        <f>SUMIF(Journal!$D$4:$D$52,B5,Journal!$G$4:$G$52)</f>
        <v>1.736111111111116E-2</v>
      </c>
      <c r="D5" s="145" t="s">
        <v>111</v>
      </c>
    </row>
    <row r="6" spans="2:4" x14ac:dyDescent="0.25">
      <c r="B6" s="144" t="str">
        <f>Base!I6</f>
        <v>103 introduction du projet</v>
      </c>
      <c r="C6" s="139">
        <f>SUMIF(Journal!$D$4:$D$52,B6,Journal!$G$4:$G$52)</f>
        <v>1.388888888888884E-2</v>
      </c>
      <c r="D6" s="145" t="s">
        <v>111</v>
      </c>
    </row>
    <row r="7" spans="2:4" x14ac:dyDescent="0.25">
      <c r="B7" s="144" t="str">
        <f>Base!I7</f>
        <v>104 découpage du projet en tâches distinctes</v>
      </c>
      <c r="C7" s="139">
        <f>SUMIF(Journal!$D$4:$D$52,B7,Journal!$G$4:$G$52)</f>
        <v>4.3055555555555569E-2</v>
      </c>
      <c r="D7" s="145" t="s">
        <v>111</v>
      </c>
    </row>
    <row r="8" spans="2:4" x14ac:dyDescent="0.25">
      <c r="B8" s="144" t="str">
        <f>Base!I8</f>
        <v>105 -</v>
      </c>
      <c r="C8" s="139">
        <f>SUMIF(Journal!$D$4:$D$52,B8,Journal!$G$4:$G$52)</f>
        <v>0</v>
      </c>
      <c r="D8" s="145"/>
    </row>
    <row r="9" spans="2:4" x14ac:dyDescent="0.25">
      <c r="B9" s="144" t="str">
        <f>Base!I9</f>
        <v>106 -</v>
      </c>
      <c r="C9" s="139">
        <f>SUMIF(Journal!$D$4:$D$52,B9,Journal!$G$4:$G$52)</f>
        <v>0</v>
      </c>
      <c r="D9" s="145"/>
    </row>
    <row r="10" spans="2:4" x14ac:dyDescent="0.25">
      <c r="B10" s="144" t="str">
        <f>Base!I10</f>
        <v>201 choix de l'architecture</v>
      </c>
      <c r="C10" s="139">
        <f>SUMIF(Journal!$D$4:$D$52,B10,Journal!$G$4:$G$52)</f>
        <v>1.736111111111116E-2</v>
      </c>
      <c r="D10" s="145" t="s">
        <v>111</v>
      </c>
    </row>
    <row r="11" spans="2:4" x14ac:dyDescent="0.25">
      <c r="B11" s="144" t="str">
        <f>Base!I11</f>
        <v>202 modélisation conceptuelle de la BDD</v>
      </c>
      <c r="C11" s="139">
        <f>SUMIF(Journal!$D$4:$D$52,B11,Journal!$G$4:$G$52)</f>
        <v>0</v>
      </c>
      <c r="D11" s="145"/>
    </row>
    <row r="12" spans="2:4" x14ac:dyDescent="0.25">
      <c r="B12" s="144" t="str">
        <f>Base!I12</f>
        <v>203 modélisation logique de la BDD</v>
      </c>
      <c r="C12" s="139">
        <f>SUMIF(Journal!$D$4:$D$52,B12,Journal!$G$4:$G$52)</f>
        <v>0</v>
      </c>
      <c r="D12" s="145"/>
    </row>
    <row r="13" spans="2:4" x14ac:dyDescent="0.25">
      <c r="B13" s="144" t="str">
        <f>Base!I13</f>
        <v>204 maquettes de l'application</v>
      </c>
      <c r="C13" s="139">
        <f>SUMIF(Journal!$D$4:$D$52,B13,Journal!$G$4:$G$52)</f>
        <v>0</v>
      </c>
      <c r="D13" s="145"/>
    </row>
    <row r="14" spans="2:4" x14ac:dyDescent="0.25">
      <c r="B14" s="144" t="str">
        <f>Base!I14</f>
        <v>205 diagrammes de flux</v>
      </c>
      <c r="C14" s="139">
        <f>SUMIF(Journal!$D$4:$D$52,B14,Journal!$G$4:$G$52)</f>
        <v>0</v>
      </c>
      <c r="D14" s="145"/>
    </row>
    <row r="15" spans="2:4" x14ac:dyDescent="0.25">
      <c r="B15" s="144" t="str">
        <f>Base!I15</f>
        <v>206 cas d'utilisation de l'application</v>
      </c>
      <c r="C15" s="139">
        <f>SUMIF(Journal!$D$4:$D$52,B15,Journal!$G$4:$G$52)</f>
        <v>0</v>
      </c>
      <c r="D15" s="145"/>
    </row>
    <row r="16" spans="2:4" x14ac:dyDescent="0.25">
      <c r="B16" s="144" t="str">
        <f>Base!I16</f>
        <v>207 scénarios de l'application</v>
      </c>
      <c r="C16" s="139">
        <f>SUMIF(Journal!$D$4:$D$52,B16,Journal!$G$4:$G$52)</f>
        <v>0</v>
      </c>
      <c r="D16" s="145"/>
    </row>
    <row r="17" spans="2:4" x14ac:dyDescent="0.25">
      <c r="B17" s="144" t="str">
        <f>Base!I17</f>
        <v>208 diagrammes de classe</v>
      </c>
      <c r="C17" s="139">
        <f>SUMIF(Journal!$D$4:$D$52,B17,Journal!$G$4:$G$52)</f>
        <v>0</v>
      </c>
      <c r="D17" s="145"/>
    </row>
    <row r="18" spans="2:4" x14ac:dyDescent="0.25">
      <c r="B18" s="144" t="str">
        <f>Base!I18</f>
        <v>209 schéma de navigation de l'application</v>
      </c>
      <c r="C18" s="139">
        <f>SUMIF(Journal!$D$4:$D$52,B18,Journal!$G$4:$G$52)</f>
        <v>0</v>
      </c>
      <c r="D18" s="145"/>
    </row>
    <row r="19" spans="2:4" x14ac:dyDescent="0.25">
      <c r="B19" s="144" t="str">
        <f>Base!I19</f>
        <v>210 fonctionnalités du projet</v>
      </c>
      <c r="C19" s="139">
        <f>SUMIF(Journal!$D$4:$D$52,B19,Journal!$G$4:$G$52)</f>
        <v>3.125E-2</v>
      </c>
      <c r="D19" s="145"/>
    </row>
    <row r="20" spans="2:4" x14ac:dyDescent="0.25">
      <c r="B20" s="144" t="str">
        <f>Base!I20</f>
        <v>211 déclaration du cadre du projet</v>
      </c>
      <c r="C20" s="139">
        <f>SUMIF(Journal!$D$4:$D$52,B20,Journal!$G$4:$G$52)</f>
        <v>0</v>
      </c>
      <c r="D20" s="145"/>
    </row>
    <row r="21" spans="2:4" x14ac:dyDescent="0.25">
      <c r="B21" s="144" t="str">
        <f>Base!I21</f>
        <v>212 rédaction des risques techniques détectés</v>
      </c>
      <c r="C21" s="139">
        <f>SUMIF(Journal!$D$4:$D$52,B21,Journal!$G$4:$G$52)</f>
        <v>0</v>
      </c>
      <c r="D21" s="145"/>
    </row>
    <row r="22" spans="2:4" x14ac:dyDescent="0.25">
      <c r="B22" s="144" t="str">
        <f>Base!I22</f>
        <v>213 planification définitive</v>
      </c>
      <c r="C22" s="139">
        <f>SUMIF(Journal!$D$4:$D$52,B22,Journal!$G$4:$G$52)</f>
        <v>0</v>
      </c>
      <c r="D22" s="145"/>
    </row>
    <row r="23" spans="2:4" x14ac:dyDescent="0.25">
      <c r="B23" s="144" t="str">
        <f>Base!I23</f>
        <v>214 recherche sur l'impression depuis l'application</v>
      </c>
      <c r="C23" s="139">
        <f>SUMIF(Journal!$D$4:$D$52,B23,Journal!$G$4:$G$52)</f>
        <v>0</v>
      </c>
      <c r="D23" s="145"/>
    </row>
    <row r="24" spans="2:4" x14ac:dyDescent="0.25">
      <c r="B24" s="144" t="str">
        <f>Base!I24</f>
        <v>215 -</v>
      </c>
      <c r="C24" s="139">
        <f>SUMIF(Journal!$D$4:$D$52,B24,Journal!$G$4:$G$52)</f>
        <v>0</v>
      </c>
      <c r="D24" s="145"/>
    </row>
    <row r="25" spans="2:4" x14ac:dyDescent="0.25">
      <c r="B25" s="144" t="str">
        <f>Base!I25</f>
        <v>216 -</v>
      </c>
      <c r="C25" s="139">
        <f>SUMIF(Journal!$D$4:$D$52,B25,Journal!$G$4:$G$52)</f>
        <v>0</v>
      </c>
      <c r="D25" s="145"/>
    </row>
    <row r="26" spans="2:4" x14ac:dyDescent="0.25">
      <c r="B26" s="144" t="str">
        <f>Base!I26</f>
        <v>300 mise en place de la BDD</v>
      </c>
      <c r="C26" s="139">
        <f>SUMIF(Journal!$D$4:$D$52,B26,Journal!$G$4:$G$52)</f>
        <v>0</v>
      </c>
      <c r="D26" s="145"/>
    </row>
    <row r="27" spans="2:4" x14ac:dyDescent="0.25">
      <c r="B27" s="144" t="str">
        <f>Base!I27</f>
        <v>301 réaliser la partie graphique de l'application</v>
      </c>
      <c r="C27" s="139">
        <f>SUMIF(Journal!$D$4:$D$52,B27,Journal!$G$4:$G$52)</f>
        <v>0</v>
      </c>
      <c r="D27" s="145"/>
    </row>
    <row r="28" spans="2:4" x14ac:dyDescent="0.25">
      <c r="B28" s="144" t="str">
        <f>Base!I28</f>
        <v>302 mettre en place la connexion à la BDD</v>
      </c>
      <c r="C28" s="139">
        <f>SUMIF(Journal!$D$4:$D$52,B28,Journal!$G$4:$G$52)</f>
        <v>0</v>
      </c>
      <c r="D28" s="145"/>
    </row>
    <row r="29" spans="2:4" x14ac:dyDescent="0.25">
      <c r="B29" s="144" t="str">
        <f>Base!I29</f>
        <v>303 mettre en place la classe "bouteille"</v>
      </c>
      <c r="C29" s="139">
        <f>SUMIF(Journal!$D$4:$D$52,B29,Journal!$G$4:$G$52)</f>
        <v>0</v>
      </c>
      <c r="D29" s="145"/>
    </row>
    <row r="30" spans="2:4" x14ac:dyDescent="0.25">
      <c r="B30" s="144" t="str">
        <f>Base!I30</f>
        <v>304 mettre en place la classe "casier"</v>
      </c>
      <c r="C30" s="139">
        <f>SUMIF(Journal!$D$4:$D$52,B30,Journal!$G$4:$G$52)</f>
        <v>0</v>
      </c>
      <c r="D30" s="145"/>
    </row>
    <row r="31" spans="2:4" x14ac:dyDescent="0.25">
      <c r="B31" s="144" t="str">
        <f>Base!I31</f>
        <v>305 implémenter l'ajout de bouteilles</v>
      </c>
      <c r="C31" s="139">
        <f>SUMIF(Journal!$D$4:$D$52,B31,Journal!$G$4:$G$52)</f>
        <v>0</v>
      </c>
      <c r="D31" s="145"/>
    </row>
    <row r="32" spans="2:4" x14ac:dyDescent="0.25">
      <c r="B32" s="144" t="str">
        <f>Base!I32</f>
        <v>306 implémenter le retrait de bouteilles</v>
      </c>
      <c r="C32" s="139">
        <f>SUMIF(Journal!$D$4:$D$52,B32,Journal!$G$4:$G$52)</f>
        <v>0</v>
      </c>
      <c r="D32" s="145"/>
    </row>
    <row r="33" spans="2:4" x14ac:dyDescent="0.25">
      <c r="B33" s="144" t="str">
        <f>Base!I33</f>
        <v>307 implémenter l'historisation des actions effectuées</v>
      </c>
      <c r="C33" s="139">
        <f>SUMIF(Journal!$D$4:$D$52,B33,Journal!$G$4:$G$52)</f>
        <v>0</v>
      </c>
      <c r="D33" s="145"/>
    </row>
    <row r="34" spans="2:4" x14ac:dyDescent="0.25">
      <c r="B34" s="144" t="str">
        <f>Base!I34</f>
        <v>308 implémenter la recherche par mot-clé</v>
      </c>
      <c r="C34" s="139">
        <f>SUMIF(Journal!$D$4:$D$52,B34,Journal!$G$4:$G$52)</f>
        <v>0</v>
      </c>
      <c r="D34" s="145"/>
    </row>
    <row r="35" spans="2:4" x14ac:dyDescent="0.25">
      <c r="B35" s="144" t="str">
        <f>Base!I35</f>
        <v>309 implémenter la recherche par couleur de robe</v>
      </c>
      <c r="C35" s="139">
        <f>SUMIF(Journal!$D$4:$D$52,B35,Journal!$G$4:$G$52)</f>
        <v>0</v>
      </c>
      <c r="D35" s="145"/>
    </row>
    <row r="36" spans="2:4" x14ac:dyDescent="0.25">
      <c r="B36" s="144" t="str">
        <f>Base!I36</f>
        <v>310 implémenter la recherche par cépage</v>
      </c>
      <c r="C36" s="139">
        <f>SUMIF(Journal!$D$4:$D$52,B36,Journal!$G$4:$G$52)</f>
        <v>0</v>
      </c>
      <c r="D36" s="145"/>
    </row>
    <row r="37" spans="2:4" x14ac:dyDescent="0.25">
      <c r="B37" s="144" t="str">
        <f>Base!I37</f>
        <v>311 implémenter la recherche par vigneron</v>
      </c>
      <c r="C37" s="139">
        <f>SUMIF(Journal!$D$4:$D$52,B37,Journal!$G$4:$G$52)</f>
        <v>0</v>
      </c>
      <c r="D37" s="145"/>
    </row>
    <row r="38" spans="2:4" x14ac:dyDescent="0.25">
      <c r="B38" s="144" t="str">
        <f>Base!I38</f>
        <v>312 implémenter la recherche par pays</v>
      </c>
      <c r="C38" s="139">
        <f>SUMIF(Journal!$D$4:$D$52,B38,Journal!$G$4:$G$52)</f>
        <v>0</v>
      </c>
      <c r="D38" s="145"/>
    </row>
    <row r="39" spans="2:4" x14ac:dyDescent="0.25">
      <c r="B39" s="144" t="str">
        <f>Base!I39</f>
        <v>313 implémenter l'export d'une liste triée par PDF</v>
      </c>
      <c r="C39" s="139">
        <f>SUMIF(Journal!$D$4:$D$52,B39,Journal!$G$4:$G$52)</f>
        <v>0</v>
      </c>
      <c r="D39" s="145"/>
    </row>
    <row r="40" spans="2:4" x14ac:dyDescent="0.25">
      <c r="B40" s="144" t="str">
        <f>Base!I40</f>
        <v>314 implémenter l'ajout de casiers</v>
      </c>
      <c r="C40" s="139">
        <f>SUMIF(Journal!$D$4:$D$52,B40,Journal!$G$4:$G$52)</f>
        <v>0</v>
      </c>
      <c r="D40" s="145"/>
    </row>
    <row r="41" spans="2:4" x14ac:dyDescent="0.25">
      <c r="B41" s="144" t="str">
        <f>Base!I41</f>
        <v>315 implémenter le retrait de casiers</v>
      </c>
      <c r="C41" s="139">
        <f>SUMIF(Journal!$D$4:$D$52,B41,Journal!$G$4:$G$52)</f>
        <v>0</v>
      </c>
      <c r="D41" s="145"/>
    </row>
    <row r="42" spans="2:4" x14ac:dyDescent="0.25">
      <c r="B42" s="144" t="str">
        <f>Base!I42</f>
        <v>316 implémenter une alerte sur éléments spécifiques</v>
      </c>
      <c r="C42" s="139">
        <f>SUMIF(Journal!$D$4:$D$52,B42,Journal!$G$4:$G$52)</f>
        <v>0</v>
      </c>
      <c r="D42" s="145"/>
    </row>
    <row r="43" spans="2:4" x14ac:dyDescent="0.25">
      <c r="B43" s="144" t="str">
        <f>Base!I43</f>
        <v>317 implémenter l'impression d'une liste triée</v>
      </c>
      <c r="C43" s="139">
        <f>SUMIF(Journal!$D$4:$D$52,B43,Journal!$G$4:$G$52)</f>
        <v>0</v>
      </c>
      <c r="D43" s="145"/>
    </row>
    <row r="44" spans="2:4" x14ac:dyDescent="0.25">
      <c r="B44" s="144" t="str">
        <f>Base!I44</f>
        <v xml:space="preserve">318 - </v>
      </c>
      <c r="C44" s="139">
        <f>SUMIF(Journal!$D$4:$D$52,B44,Journal!$G$4:$G$52)</f>
        <v>0</v>
      </c>
      <c r="D44" s="145"/>
    </row>
    <row r="45" spans="2:4" x14ac:dyDescent="0.25">
      <c r="B45" s="144" t="str">
        <f>Base!I45</f>
        <v xml:space="preserve">319 - </v>
      </c>
      <c r="C45" s="139">
        <f>SUMIF(Journal!$D$4:$D$52,B45,Journal!$G$4:$G$52)</f>
        <v>0</v>
      </c>
      <c r="D45" s="145"/>
    </row>
    <row r="46" spans="2:4" x14ac:dyDescent="0.25">
      <c r="B46" s="144" t="str">
        <f>Base!I46</f>
        <v xml:space="preserve">320 - </v>
      </c>
      <c r="C46" s="139">
        <f>SUMIF(Journal!$D$4:$D$52,B46,Journal!$G$4:$G$52)</f>
        <v>0</v>
      </c>
      <c r="D46" s="145"/>
    </row>
    <row r="47" spans="2:4" x14ac:dyDescent="0.25">
      <c r="B47" s="144" t="str">
        <f>Base!I47</f>
        <v xml:space="preserve">321 - </v>
      </c>
      <c r="C47" s="139">
        <f>SUMIF(Journal!$D$4:$D$52,B47,Journal!$G$4:$G$52)</f>
        <v>0</v>
      </c>
      <c r="D47" s="145"/>
    </row>
    <row r="48" spans="2:4" x14ac:dyDescent="0.25">
      <c r="B48" s="144" t="str">
        <f>Base!I48</f>
        <v xml:space="preserve">322 - </v>
      </c>
      <c r="C48" s="139">
        <f>SUMIF(Journal!$D$4:$D$52,B48,Journal!$G$4:$G$52)</f>
        <v>0</v>
      </c>
      <c r="D48" s="145"/>
    </row>
    <row r="49" spans="2:4" x14ac:dyDescent="0.25">
      <c r="B49" s="144" t="str">
        <f>Base!I49</f>
        <v>401 mise en forme du rapport de projet</v>
      </c>
      <c r="C49" s="139">
        <f>SUMIF(Journal!$D$4:$D$52,B49,Journal!$G$4:$G$52)</f>
        <v>5.208333333333337E-2</v>
      </c>
      <c r="D49" s="145"/>
    </row>
    <row r="50" spans="2:4" x14ac:dyDescent="0.25">
      <c r="B50" s="144" t="str">
        <f>Base!I50</f>
        <v>402 journal de travail</v>
      </c>
      <c r="C50" s="139">
        <f>SUMIF(Journal!$D$4:$D$52,B50,Journal!$G$4:$G$52)</f>
        <v>1.041666666666663E-2</v>
      </c>
      <c r="D50" s="145"/>
    </row>
    <row r="51" spans="2:4" x14ac:dyDescent="0.25">
      <c r="B51" s="144" t="str">
        <f>Base!I51</f>
        <v>403 procédure d'installation</v>
      </c>
      <c r="C51" s="139">
        <f>SUMIF(Journal!$D$4:$D$52,B51,Journal!$G$4:$G$52)</f>
        <v>0</v>
      </c>
      <c r="D51" s="145"/>
    </row>
    <row r="52" spans="2:4" x14ac:dyDescent="0.25">
      <c r="B52" s="144" t="str">
        <f>Base!I52</f>
        <v>404 procédure de test</v>
      </c>
      <c r="C52" s="139">
        <f>SUMIF(Journal!$D$4:$D$52,B52,Journal!$G$4:$G$52)</f>
        <v>0</v>
      </c>
      <c r="D52" s="145"/>
    </row>
    <row r="53" spans="2:4" x14ac:dyDescent="0.25">
      <c r="B53" s="144" t="str">
        <f>Base!I53</f>
        <v>405 mise en place du GitHub</v>
      </c>
      <c r="C53" s="139">
        <f>SUMIF(Journal!$D$4:$D$52,B53,Journal!$G$4:$G$52)</f>
        <v>2.0833333333333315E-2</v>
      </c>
      <c r="D53" s="145" t="s">
        <v>107</v>
      </c>
    </row>
    <row r="54" spans="2:4" x14ac:dyDescent="0.25">
      <c r="B54" s="144" t="str">
        <f>Base!I54</f>
        <v>406 envoi de l'avancée au CdP et aux experts</v>
      </c>
      <c r="C54" s="139">
        <f>SUMIF(Journal!$D$4:$D$52,B54,Journal!$G$4:$G$52)</f>
        <v>0</v>
      </c>
      <c r="D54" s="145"/>
    </row>
    <row r="55" spans="2:4" x14ac:dyDescent="0.25">
      <c r="B55" s="144" t="str">
        <f>Base!I55</f>
        <v>501 réalisation des tests unitaires</v>
      </c>
      <c r="C55" s="139">
        <f>SUMIF(Journal!$D$4:$D$52,B55,Journal!$G$4:$G$52)</f>
        <v>0</v>
      </c>
      <c r="D55" s="145"/>
    </row>
    <row r="56" spans="2:4" x14ac:dyDescent="0.25">
      <c r="B56" s="144" t="str">
        <f>Base!I56</f>
        <v>502 réalisation des tests d'intégration</v>
      </c>
      <c r="C56" s="139">
        <f>SUMIF(Journal!$D$4:$D$52,B56,Journal!$G$4:$G$52)</f>
        <v>0</v>
      </c>
      <c r="D56" s="145"/>
    </row>
    <row r="57" spans="2:4" x14ac:dyDescent="0.25">
      <c r="B57" s="144" t="str">
        <f>Base!I57</f>
        <v>503 réalisation des tests fonctionnels</v>
      </c>
      <c r="C57" s="139">
        <f>SUMIF(Journal!$D$4:$D$52,B57,Journal!$G$4:$G$52)</f>
        <v>0</v>
      </c>
      <c r="D57" s="145"/>
    </row>
    <row r="58" spans="2:4" x14ac:dyDescent="0.25">
      <c r="B58" s="144" t="str">
        <f>Base!I58</f>
        <v>504 mise en forme des résultats des tests</v>
      </c>
      <c r="C58" s="139">
        <f>SUMIF(Journal!$D$4:$D$52,B58,Journal!$G$4:$G$52)</f>
        <v>0</v>
      </c>
      <c r="D58" s="145"/>
    </row>
    <row r="59" spans="2:4" x14ac:dyDescent="0.25">
      <c r="B59" s="144" t="str">
        <f>Base!I59</f>
        <v>505 -</v>
      </c>
      <c r="C59" s="139">
        <f>SUMIF(Journal!$D$4:$D$52,B59,Journal!$G$4:$G$52)</f>
        <v>0</v>
      </c>
      <c r="D59" s="145"/>
    </row>
    <row r="60" spans="2:4" x14ac:dyDescent="0.25">
      <c r="B60" s="144" t="str">
        <f>Base!I60</f>
        <v>506 -</v>
      </c>
      <c r="C60" s="139">
        <f>SUMIF(Journal!$D$4:$D$52,B60,Journal!$G$4:$G$52)</f>
        <v>0</v>
      </c>
      <c r="D60" s="145"/>
    </row>
    <row r="61" spans="2:4" x14ac:dyDescent="0.25">
      <c r="B61" s="144" t="str">
        <f>Base!I61</f>
        <v>601 réunion avec monsieur C.Egger, CdP</v>
      </c>
      <c r="C61" s="139">
        <f>SUMIF(Journal!$D$4:$D$52,B61,Journal!$G$4:$G$52)</f>
        <v>1.0416666666666685E-2</v>
      </c>
      <c r="D61" s="145"/>
    </row>
    <row r="62" spans="2:4" x14ac:dyDescent="0.25">
      <c r="B62" s="144" t="str">
        <f>Base!I62</f>
        <v>602 réunion avec monsieur G.Gruaz, expert 1</v>
      </c>
      <c r="C62" s="139">
        <f>SUMIF(Journal!$D$4:$D$52,B62,Journal!$G$4:$G$52)</f>
        <v>1.736111111111116E-2</v>
      </c>
      <c r="D62" s="145"/>
    </row>
    <row r="63" spans="2:4" x14ac:dyDescent="0.25">
      <c r="B63" s="144" t="str">
        <f>Base!I63</f>
        <v>603 réunion avec monsieur A.Roy, expert 2</v>
      </c>
      <c r="C63" s="139">
        <f>SUMIF(Journal!$D$4:$D$52,B63,Journal!$G$4:$G$52)</f>
        <v>0</v>
      </c>
      <c r="D63" s="145"/>
    </row>
    <row r="64" spans="2:4" x14ac:dyDescent="0.25">
      <c r="B64" s="144" t="str">
        <f>Base!I64</f>
        <v>604 réunion avec une personne extérieure</v>
      </c>
      <c r="C64" s="139">
        <f>SUMIF(Journal!$D$4:$D$52,B64,Journal!$G$4:$G$52)</f>
        <v>0</v>
      </c>
      <c r="D64" s="145"/>
    </row>
    <row r="65" spans="2:4" x14ac:dyDescent="0.25">
      <c r="B65" s="144" t="str">
        <f>Base!I65</f>
        <v>605 -</v>
      </c>
      <c r="C65" s="139">
        <f>SUMIF(Journal!$D$4:$D$52,B65,Journal!$G$4:$G$52)</f>
        <v>0</v>
      </c>
      <c r="D65" s="145"/>
    </row>
    <row r="66" spans="2:4" ht="15.75" thickBot="1" x14ac:dyDescent="0.3">
      <c r="B66" s="146" t="str">
        <f>Base!I66</f>
        <v>606 -</v>
      </c>
      <c r="C66" s="140">
        <f>SUMIF(Journal!$D$4:$D$52,B66,Journal!$G$4:$G$52)</f>
        <v>0</v>
      </c>
      <c r="D66" s="147"/>
    </row>
  </sheetData>
  <mergeCells count="1">
    <mergeCell ref="B2:D2"/>
  </mergeCells>
  <conditionalFormatting sqref="D4:D66">
    <cfRule type="containsText" dxfId="1" priority="1" operator="containsText" text="Terminé">
      <formula>NOT(ISERROR(SEARCH("Terminé",D4)))</formula>
    </cfRule>
    <cfRule type="containsText" dxfId="0" priority="2" operator="containsText" text="en cours">
      <formula>NOT(ISERROR(SEARCH("en cours",D4)))</formula>
    </cfRule>
  </conditionalFormatting>
  <dataValidations count="1">
    <dataValidation type="list" allowBlank="1" sqref="D4:D66">
      <formula1>"En cours,Terminé"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>
    <oddFooter>Page &amp;P de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Planif initiale</vt:lpstr>
      <vt:lpstr>Journal</vt:lpstr>
      <vt:lpstr>Avancée</vt:lpstr>
      <vt:lpstr>Base!listeTache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2021-05-04T07:59:53Z</cp:lastPrinted>
  <dcterms:created xsi:type="dcterms:W3CDTF">2015-01-22T08:10:30Z</dcterms:created>
  <dcterms:modified xsi:type="dcterms:W3CDTF">2021-05-04T08:03:55Z</dcterms:modified>
</cp:coreProperties>
</file>